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{IX0056}勤務管理\test勤務表\"/>
    </mc:Choice>
  </mc:AlternateContent>
  <xr:revisionPtr revIDLastSave="0" documentId="13_ncr:1_{CF137717-4355-4422-871F-7FA8C6451E07}" xr6:coauthVersionLast="36" xr6:coauthVersionMax="47" xr10:uidLastSave="{00000000-0000-0000-0000-000000000000}"/>
  <bookViews>
    <workbookView xWindow="-120" yWindow="-120" windowWidth="29040" windowHeight="16440" tabRatio="597" xr2:uid="{DBBAEC3A-0581-4E85-AE2A-BE13FD716287}"/>
  </bookViews>
  <sheets>
    <sheet name="勤務表" sheetId="1" r:id="rId1"/>
    <sheet name="夜勤表" sheetId="5" r:id="rId2"/>
    <sheet name="習熟度" sheetId="4" r:id="rId3"/>
    <sheet name="ワーキング" sheetId="8" r:id="rId4"/>
    <sheet name="配置&amp;休暇" sheetId="7" r:id="rId5"/>
    <sheet name="スタッフ登録" sheetId="6" r:id="rId6"/>
    <sheet name="Sheet1" sheetId="3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9" i="4" l="1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</calcChain>
</file>

<file path=xl/sharedStrings.xml><?xml version="1.0" encoding="utf-8"?>
<sst xmlns="http://schemas.openxmlformats.org/spreadsheetml/2006/main" count="4052" uniqueCount="368">
  <si>
    <t>Angio夜勤</t>
  </si>
  <si>
    <t>MRI夜勤</t>
  </si>
  <si>
    <t>CT夜勤</t>
  </si>
  <si>
    <t>Angio日勤</t>
  </si>
  <si>
    <t>MRI日勤</t>
  </si>
  <si>
    <t>CT日勤</t>
  </si>
  <si>
    <t>Free日勤</t>
  </si>
  <si>
    <t>上薗博史</t>
  </si>
  <si>
    <t>日勤</t>
  </si>
  <si>
    <t>夜勤</t>
  </si>
  <si>
    <t>休日勤</t>
  </si>
  <si>
    <t>放射線治療</t>
  </si>
  <si>
    <t>MRI</t>
  </si>
  <si>
    <t>X線TV</t>
  </si>
  <si>
    <t>健診</t>
  </si>
  <si>
    <t>核医学</t>
  </si>
  <si>
    <t>単純X線</t>
  </si>
  <si>
    <t>マンモグラフィ</t>
  </si>
  <si>
    <t>マンモトーム</t>
  </si>
  <si>
    <t>CT</t>
  </si>
  <si>
    <t>MRXO</t>
  </si>
  <si>
    <t>血管造影</t>
  </si>
  <si>
    <t>ポータブル</t>
  </si>
  <si>
    <t>O-arm</t>
  </si>
  <si>
    <t>Zeego</t>
  </si>
  <si>
    <t>血管造影(夜勤)</t>
  </si>
  <si>
    <t>MRI(夜勤)</t>
  </si>
  <si>
    <t>CT(夜勤)</t>
  </si>
  <si>
    <t>血管造影(休)</t>
  </si>
  <si>
    <t>MRI(休)</t>
  </si>
  <si>
    <t>CT(休)</t>
  </si>
  <si>
    <t>Free(休)</t>
  </si>
  <si>
    <t>×</t>
  </si>
  <si>
    <t>△</t>
  </si>
  <si>
    <t>〇</t>
  </si>
  <si>
    <t>◎</t>
  </si>
  <si>
    <t>055236</t>
  </si>
  <si>
    <t>戸高秀晴</t>
  </si>
  <si>
    <t>RT</t>
  </si>
  <si>
    <t>188966</t>
  </si>
  <si>
    <t>奥村康裕</t>
  </si>
  <si>
    <t>252790</t>
  </si>
  <si>
    <t>広木智之</t>
  </si>
  <si>
    <t>260586</t>
  </si>
  <si>
    <t>菊地朋子</t>
  </si>
  <si>
    <t>272684</t>
  </si>
  <si>
    <t>前平祥太</t>
  </si>
  <si>
    <t>278340</t>
  </si>
  <si>
    <t>山下友里</t>
  </si>
  <si>
    <t>286794</t>
  </si>
  <si>
    <t>西田真琴</t>
  </si>
  <si>
    <t>299122</t>
  </si>
  <si>
    <t>久保龍太郎</t>
  </si>
  <si>
    <t>299148</t>
  </si>
  <si>
    <t>佐藤遼介</t>
  </si>
  <si>
    <t>309120</t>
  </si>
  <si>
    <t>福光幹也</t>
  </si>
  <si>
    <t>321140</t>
  </si>
  <si>
    <t>塚本ひかり</t>
  </si>
  <si>
    <t>078321</t>
  </si>
  <si>
    <t>池田秀</t>
  </si>
  <si>
    <t>MR</t>
  </si>
  <si>
    <t>113482</t>
  </si>
  <si>
    <t>吉田国弘</t>
  </si>
  <si>
    <t>XP</t>
  </si>
  <si>
    <t>188875</t>
  </si>
  <si>
    <t>遠藤幸子</t>
  </si>
  <si>
    <t>244514</t>
  </si>
  <si>
    <t>245970</t>
  </si>
  <si>
    <t>河方マミ</t>
  </si>
  <si>
    <t>286164</t>
  </si>
  <si>
    <t>庄司有希</t>
  </si>
  <si>
    <t>326430</t>
  </si>
  <si>
    <t>太田帆南</t>
  </si>
  <si>
    <t>332152</t>
  </si>
  <si>
    <t>相曾莉茄</t>
  </si>
  <si>
    <t>332178</t>
  </si>
  <si>
    <t>小野寺紘哉</t>
  </si>
  <si>
    <t>338422</t>
  </si>
  <si>
    <t>森遼太</t>
  </si>
  <si>
    <t>088853</t>
  </si>
  <si>
    <t>飯塚芳弘</t>
  </si>
  <si>
    <t>092942</t>
  </si>
  <si>
    <t>諸星行男</t>
  </si>
  <si>
    <t>182210</t>
  </si>
  <si>
    <t>富安恭子</t>
  </si>
  <si>
    <t>245995</t>
  </si>
  <si>
    <t>杉山誠</t>
  </si>
  <si>
    <t>246030</t>
  </si>
  <si>
    <t>吉田亮一</t>
  </si>
  <si>
    <t>260482</t>
  </si>
  <si>
    <t>片山拓人</t>
  </si>
  <si>
    <t>299163</t>
  </si>
  <si>
    <t>西澤健吾</t>
  </si>
  <si>
    <t>305435</t>
  </si>
  <si>
    <t>森川友香</t>
  </si>
  <si>
    <t>326497</t>
  </si>
  <si>
    <t>森浩紀</t>
  </si>
  <si>
    <t>336646</t>
  </si>
  <si>
    <t>古郡宙</t>
  </si>
  <si>
    <t>109876</t>
  </si>
  <si>
    <t>平田聡</t>
  </si>
  <si>
    <t>XO</t>
  </si>
  <si>
    <t>182248</t>
  </si>
  <si>
    <t>明石絵美</t>
  </si>
  <si>
    <t>188994</t>
  </si>
  <si>
    <t>勝沼泰</t>
  </si>
  <si>
    <t>196869</t>
  </si>
  <si>
    <t>長谷川理恵</t>
  </si>
  <si>
    <t>257190</t>
  </si>
  <si>
    <t>佐藤秀隆</t>
  </si>
  <si>
    <t>293727</t>
  </si>
  <si>
    <t>小久保翔吾</t>
  </si>
  <si>
    <t>315393</t>
  </si>
  <si>
    <t>渡辺真悟</t>
  </si>
  <si>
    <t>338410</t>
  </si>
  <si>
    <t>益子紗也香</t>
  </si>
  <si>
    <t>035642</t>
  </si>
  <si>
    <t>渡辺一廣</t>
  </si>
  <si>
    <t>FR</t>
  </si>
  <si>
    <t>189014</t>
  </si>
  <si>
    <t>神谷陽</t>
  </si>
  <si>
    <t>ET</t>
  </si>
  <si>
    <t>059247</t>
  </si>
  <si>
    <t>福井浩</t>
  </si>
  <si>
    <t/>
  </si>
  <si>
    <t>076610</t>
  </si>
  <si>
    <t>川嶋康裕</t>
  </si>
  <si>
    <t>090668</t>
  </si>
  <si>
    <t>笠原賢治</t>
  </si>
  <si>
    <t>090670</t>
  </si>
  <si>
    <t>高橋直紀</t>
  </si>
  <si>
    <t>111821</t>
  </si>
  <si>
    <t>山下高史</t>
  </si>
  <si>
    <t>113389</t>
  </si>
  <si>
    <t>高橋正文</t>
  </si>
  <si>
    <t>113426</t>
  </si>
  <si>
    <t>堀江朋彦</t>
  </si>
  <si>
    <t>120010</t>
  </si>
  <si>
    <t>杉山雄一郎</t>
  </si>
  <si>
    <t>125383</t>
  </si>
  <si>
    <t>板垣紀子</t>
  </si>
  <si>
    <t>189190</t>
  </si>
  <si>
    <t>橋本亜樹生</t>
  </si>
  <si>
    <t>236771</t>
  </si>
  <si>
    <t>山本和幸</t>
  </si>
  <si>
    <t>243011</t>
  </si>
  <si>
    <t>粟田牧子</t>
  </si>
  <si>
    <t>246002</t>
  </si>
  <si>
    <t>高野隼</t>
  </si>
  <si>
    <t>260454</t>
  </si>
  <si>
    <t>高野晋</t>
  </si>
  <si>
    <t>268658</t>
  </si>
  <si>
    <t>清水俊太郎</t>
  </si>
  <si>
    <t>272301</t>
  </si>
  <si>
    <t>小田志穂美</t>
  </si>
  <si>
    <t>272342</t>
  </si>
  <si>
    <t>馬場嵩</t>
  </si>
  <si>
    <t>272355</t>
  </si>
  <si>
    <t>因幡多恵子</t>
  </si>
  <si>
    <t>277765</t>
  </si>
  <si>
    <t>本田裕司</t>
  </si>
  <si>
    <t>278521</t>
  </si>
  <si>
    <t>柳賢佑</t>
  </si>
  <si>
    <t>278575</t>
  </si>
  <si>
    <t>中村悠輝</t>
  </si>
  <si>
    <t>278760</t>
  </si>
  <si>
    <t>川上知香恵</t>
  </si>
  <si>
    <t>293730</t>
  </si>
  <si>
    <t>木幡悠人</t>
  </si>
  <si>
    <t>295691</t>
  </si>
  <si>
    <t>今田奈津夫</t>
  </si>
  <si>
    <t>295700</t>
  </si>
  <si>
    <t>早坂公希</t>
  </si>
  <si>
    <t>305030</t>
  </si>
  <si>
    <t>會田直史</t>
  </si>
  <si>
    <t>315380</t>
  </si>
  <si>
    <t>三浦佳帆里</t>
  </si>
  <si>
    <t>321152</t>
  </si>
  <si>
    <t>藤嶋啓介</t>
  </si>
  <si>
    <t>321165</t>
  </si>
  <si>
    <t>渡部勝浩</t>
  </si>
  <si>
    <t>326443</t>
  </si>
  <si>
    <t>小林凜也</t>
  </si>
  <si>
    <t>326469</t>
  </si>
  <si>
    <t>清水目礼奈</t>
  </si>
  <si>
    <t>326484</t>
  </si>
  <si>
    <t>高見澤水穂</t>
  </si>
  <si>
    <t>332165</t>
  </si>
  <si>
    <t>沖野圭太</t>
  </si>
  <si>
    <t>332193</t>
  </si>
  <si>
    <t>名和勇樹</t>
  </si>
  <si>
    <t>338407</t>
  </si>
  <si>
    <t>岩崎陸</t>
  </si>
  <si>
    <t>R03530</t>
  </si>
  <si>
    <t>斎藤昌代</t>
  </si>
  <si>
    <t>R04793</t>
  </si>
  <si>
    <t>小川智</t>
  </si>
  <si>
    <t>スタッフを追加する場合は管理者モードで各ワーキング名をダブルクリック</t>
  </si>
  <si>
    <t>被ばく</t>
  </si>
  <si>
    <t>医療安全</t>
  </si>
  <si>
    <t>システム</t>
  </si>
  <si>
    <t>装置管理</t>
  </si>
  <si>
    <t>業務改善</t>
  </si>
  <si>
    <t>付与休暇数</t>
  </si>
  <si>
    <t>KS</t>
  </si>
  <si>
    <t>TV</t>
  </si>
  <si>
    <t>AG</t>
  </si>
  <si>
    <t>NM</t>
  </si>
  <si>
    <t>AS</t>
  </si>
  <si>
    <t>表示フラグ</t>
  </si>
  <si>
    <t>管理番号</t>
  </si>
  <si>
    <t>職員番号</t>
  </si>
  <si>
    <t>氏名</t>
  </si>
  <si>
    <t>電話番号</t>
  </si>
  <si>
    <t>勤務形態</t>
  </si>
  <si>
    <t>権限</t>
  </si>
  <si>
    <t>役職</t>
  </si>
  <si>
    <t>備考</t>
  </si>
  <si>
    <t>ON</t>
  </si>
  <si>
    <t>080-5689-5054</t>
  </si>
  <si>
    <t>090-4369-9383</t>
  </si>
  <si>
    <t>080-5426-7283</t>
  </si>
  <si>
    <t>090-7195-9821</t>
  </si>
  <si>
    <t>090-1852-2698</t>
  </si>
  <si>
    <t>090-8503-3141</t>
  </si>
  <si>
    <t>日直のみ</t>
  </si>
  <si>
    <t>OFF</t>
  </si>
  <si>
    <t>123456</t>
  </si>
  <si>
    <t>放射線ﾀﾛｳ</t>
  </si>
  <si>
    <t>090-4173-6458</t>
  </si>
  <si>
    <t>090-4438-1339</t>
  </si>
  <si>
    <t>090-3428-2913</t>
  </si>
  <si>
    <t>090-1761-6692</t>
  </si>
  <si>
    <t>090-43632-5698</t>
  </si>
  <si>
    <t>090-6939-2211</t>
  </si>
  <si>
    <t>090-6149-0305</t>
  </si>
  <si>
    <t>090-2200-0212</t>
  </si>
  <si>
    <t>090-5487-0753</t>
  </si>
  <si>
    <t>090-4396-0357</t>
  </si>
  <si>
    <t>090-4604-9165</t>
  </si>
  <si>
    <t>090-7277-2572</t>
  </si>
  <si>
    <t>090-9100-6428</t>
  </si>
  <si>
    <t>090-2952-6797</t>
  </si>
  <si>
    <t>080-5646-3098</t>
  </si>
  <si>
    <t>090-8055-3727</t>
  </si>
  <si>
    <t>090-7003-6204</t>
  </si>
  <si>
    <t>高野→山下</t>
  </si>
  <si>
    <t>080-1018-8059</t>
  </si>
  <si>
    <t>080-5253-0146</t>
  </si>
  <si>
    <t>090-3762-3901</t>
  </si>
  <si>
    <t>080-2094-4487</t>
  </si>
  <si>
    <t>090-5327-7914</t>
  </si>
  <si>
    <t>080-2028-0711</t>
  </si>
  <si>
    <t>080-6046-8633</t>
  </si>
  <si>
    <t>080-6789-3944</t>
  </si>
  <si>
    <t>299189</t>
  </si>
  <si>
    <t>吉川達哉</t>
  </si>
  <si>
    <t>080-5576-0484</t>
  </si>
  <si>
    <t>090-4320-4075</t>
  </si>
  <si>
    <t>土曜宿直のみ</t>
  </si>
  <si>
    <t>090-3558-7002</t>
  </si>
  <si>
    <t>080-1224-7666</t>
  </si>
  <si>
    <t>090-2993-1906</t>
  </si>
  <si>
    <t>090-5784-7420</t>
  </si>
  <si>
    <t>090-9195-1790</t>
  </si>
  <si>
    <t>090-4844-0799</t>
  </si>
  <si>
    <t>090-9744-8587</t>
  </si>
  <si>
    <t>080-5144-8807</t>
  </si>
  <si>
    <t>080-4150-6450</t>
  </si>
  <si>
    <t>080-5290-6020</t>
  </si>
  <si>
    <t>070-8545-1716</t>
  </si>
  <si>
    <t>080-2585-6733</t>
  </si>
  <si>
    <t>080-1653-5957</t>
  </si>
  <si>
    <t>080-6108-0640</t>
  </si>
  <si>
    <t>080-2019-5716</t>
  </si>
  <si>
    <t>080-8028-2745</t>
  </si>
  <si>
    <t>090-6748-4075</t>
  </si>
  <si>
    <t>8:30～15:30</t>
  </si>
  <si>
    <t xml:space="preserve">月　8:30～16:00
火　8:30～15:30
水　8:30～15:00
木　8:30～15:00
金　8:30～16:00   </t>
  </si>
  <si>
    <t xml:space="preserve">8：00～15：30
</t>
  </si>
  <si>
    <t>第1,3,5週
月～金　9:00～15:00
土　　　　8:00～14:00
第2,4週
月～金　9:00～16:00
5/29  9:00～15:00
5/30  9:00～15:30</t>
  </si>
  <si>
    <t>旧職員番号038451</t>
  </si>
  <si>
    <t>188981</t>
  </si>
  <si>
    <t>梶原直</t>
  </si>
  <si>
    <t>286662</t>
  </si>
  <si>
    <t>高澤明日香</t>
  </si>
  <si>
    <t>293742</t>
  </si>
  <si>
    <t>砂村あゆみ</t>
  </si>
  <si>
    <t>R04534</t>
  </si>
  <si>
    <t>藤田昭</t>
  </si>
  <si>
    <t>旧職員番号040513</t>
  </si>
  <si>
    <t>000000</t>
  </si>
  <si>
    <t>admin</t>
  </si>
  <si>
    <t>067607</t>
  </si>
  <si>
    <t>佐藤雄喜</t>
  </si>
  <si>
    <t>236756</t>
  </si>
  <si>
    <t>小寺祐子</t>
  </si>
  <si>
    <t>252577</t>
  </si>
  <si>
    <t>渋川周平</t>
  </si>
  <si>
    <t>286675</t>
  </si>
  <si>
    <t>早田憲治</t>
  </si>
  <si>
    <t>293768</t>
  </si>
  <si>
    <t>畠山浩気</t>
  </si>
  <si>
    <t>299135</t>
  </si>
  <si>
    <t>斎藤俊輝</t>
  </si>
  <si>
    <t>299150</t>
  </si>
  <si>
    <t>高木喜未</t>
  </si>
  <si>
    <t>305043</t>
  </si>
  <si>
    <t>斎藤美咲</t>
  </si>
  <si>
    <t>309145</t>
  </si>
  <si>
    <t>三浦祐希</t>
  </si>
  <si>
    <t>332180</t>
  </si>
  <si>
    <t>鈴木萌香</t>
  </si>
  <si>
    <t>999999</t>
  </si>
  <si>
    <t>東海太郎</t>
  </si>
  <si>
    <t>特になし</t>
  </si>
  <si>
    <t>R03958</t>
  </si>
  <si>
    <t>梅本亨</t>
  </si>
  <si>
    <t>R03959</t>
  </si>
  <si>
    <t>畠山謙二</t>
  </si>
  <si>
    <t>勤務表のモダリティ設定人数の範囲をダブルクリックしたときに、設定人数を変更できるようにする</t>
    <rPh sb="0" eb="3">
      <t>キンムヒョウ</t>
    </rPh>
    <rPh sb="9" eb="13">
      <t>セッテイニンズウ</t>
    </rPh>
    <rPh sb="14" eb="16">
      <t>ハンイ</t>
    </rPh>
    <rPh sb="30" eb="34">
      <t>セッテイニンズウ</t>
    </rPh>
    <rPh sb="35" eb="37">
      <t>ヘンコウ</t>
    </rPh>
    <phoneticPr fontId="1"/>
  </si>
  <si>
    <t>データベースの変更</t>
    <rPh sb="7" eb="9">
      <t>ヘンコウ</t>
    </rPh>
    <phoneticPr fontId="1"/>
  </si>
  <si>
    <t>tblStaffにdispフィールド追加-&gt;これまで、年度ごとに表示のフラグを使用していたが、dispフィールドで年度に関係なく表示の切り替えを行う。そのためこれまであったスタッフの表示切り替え用のシートは削除し、スタッフ情報の登録シートで管理する</t>
    <rPh sb="18" eb="20">
      <t>ツイカ</t>
    </rPh>
    <rPh sb="27" eb="29">
      <t>ネンド</t>
    </rPh>
    <rPh sb="32" eb="34">
      <t>ヒョウジ</t>
    </rPh>
    <rPh sb="39" eb="41">
      <t>シヨウ</t>
    </rPh>
    <rPh sb="57" eb="59">
      <t>ネンド</t>
    </rPh>
    <rPh sb="60" eb="62">
      <t>カンケイ</t>
    </rPh>
    <rPh sb="64" eb="66">
      <t>ヒョウジ</t>
    </rPh>
    <rPh sb="67" eb="68">
      <t>キ</t>
    </rPh>
    <rPh sb="69" eb="70">
      <t>カ</t>
    </rPh>
    <rPh sb="72" eb="73">
      <t>オコナ</t>
    </rPh>
    <rPh sb="91" eb="93">
      <t>ヒョウジ</t>
    </rPh>
    <rPh sb="93" eb="94">
      <t>キ</t>
    </rPh>
    <rPh sb="95" eb="96">
      <t>カ</t>
    </rPh>
    <rPh sb="97" eb="98">
      <t>ヨウ</t>
    </rPh>
    <rPh sb="103" eb="105">
      <t>サクジョ</t>
    </rPh>
    <rPh sb="111" eb="113">
      <t>ジョウホウ</t>
    </rPh>
    <rPh sb="114" eb="116">
      <t>トウロク</t>
    </rPh>
    <rPh sb="120" eb="122">
      <t>カンリ</t>
    </rPh>
    <phoneticPr fontId="1"/>
  </si>
  <si>
    <t>tblModalityConfigを追加(ID:auto number pk, workdate:date, modality:string, staffs:integer)-&gt;これまではtblModalityでモダリティ設定人数の管理を行っていたが、モダリティを固定してフィールドに設定しているため動的な対応ができなかった。</t>
    <rPh sb="18" eb="20">
      <t>ツイカ</t>
    </rPh>
    <rPh sb="111" eb="115">
      <t>セッテイニンズウ</t>
    </rPh>
    <rPh sb="116" eb="118">
      <t>カンリ</t>
    </rPh>
    <rPh sb="119" eb="120">
      <t>オコナ</t>
    </rPh>
    <rPh sb="132" eb="134">
      <t>コテイ</t>
    </rPh>
    <rPh sb="142" eb="144">
      <t>セッテイ</t>
    </rPh>
    <rPh sb="150" eb="152">
      <t>ドウテキ</t>
    </rPh>
    <rPh sb="153" eb="155">
      <t>タイオウ</t>
    </rPh>
    <phoneticPr fontId="1"/>
  </si>
  <si>
    <t>tblModalityConfig_defaultを追加（weekday:integer, modality:string, staffs:integer）-&gt;モダリティの変化に対応できるよう自由度を上げた</t>
    <rPh sb="26" eb="28">
      <t>ツイカ</t>
    </rPh>
    <rPh sb="86" eb="88">
      <t>ヘンカ</t>
    </rPh>
    <rPh sb="89" eb="91">
      <t>タイオウ</t>
    </rPh>
    <rPh sb="96" eb="99">
      <t>ジユウド</t>
    </rPh>
    <rPh sb="100" eb="101">
      <t>ア</t>
    </rPh>
    <phoneticPr fontId="1"/>
  </si>
  <si>
    <t>tblRemarksを追加(ID:auto number, workdate:date, remarks:string)-&gt;tblModalityから切り離し、使用する。これにより、自由度が高くなる</t>
    <rPh sb="11" eb="13">
      <t>ツイカ</t>
    </rPh>
    <rPh sb="75" eb="76">
      <t>キ</t>
    </rPh>
    <rPh sb="77" eb="78">
      <t>ハナ</t>
    </rPh>
    <rPh sb="80" eb="82">
      <t>シヨウ</t>
    </rPh>
    <rPh sb="91" eb="94">
      <t>ジユウド</t>
    </rPh>
    <rPh sb="95" eb="96">
      <t>タカ</t>
    </rPh>
    <phoneticPr fontId="1"/>
  </si>
  <si>
    <t>フリー・予備</t>
  </si>
  <si>
    <t>入明</t>
  </si>
  <si>
    <t>出張</t>
  </si>
  <si>
    <t>休日</t>
  </si>
  <si>
    <t>休暇</t>
  </si>
  <si>
    <t>半休</t>
  </si>
  <si>
    <t>休</t>
  </si>
  <si>
    <t>年</t>
  </si>
  <si>
    <t>半</t>
  </si>
  <si>
    <t>夏</t>
  </si>
  <si>
    <t>特</t>
  </si>
  <si>
    <t>張</t>
  </si>
  <si>
    <t>夜</t>
  </si>
  <si>
    <t>日</t>
  </si>
  <si>
    <t>年残</t>
  </si>
  <si>
    <t>必要人数</t>
  </si>
  <si>
    <t>月間勤務回数</t>
  </si>
  <si>
    <t>年間勤務回数</t>
  </si>
  <si>
    <t>▲</t>
  </si>
  <si>
    <t>●</t>
  </si>
  <si>
    <t>★</t>
  </si>
  <si>
    <t>0/0</t>
  </si>
  <si>
    <t>NO</t>
  </si>
  <si>
    <t>NF</t>
  </si>
  <si>
    <t>八援</t>
  </si>
  <si>
    <t>応</t>
  </si>
  <si>
    <r>
      <t>今日は</t>
    </r>
    <r>
      <rPr>
        <b/>
        <sz val="11"/>
        <color indexed="14"/>
        <rFont val="游ゴシック"/>
        <family val="3"/>
        <charset val="128"/>
        <scheme val="minor"/>
      </rPr>
      <t>09/26(火)</t>
    </r>
    <r>
      <rPr>
        <sz val="11"/>
        <color theme="1"/>
        <rFont val="游ゴシック"/>
        <family val="2"/>
        <charset val="128"/>
        <scheme val="minor"/>
      </rPr>
      <t>です</t>
    </r>
  </si>
  <si>
    <t>2/0</t>
  </si>
  <si>
    <t>1/0</t>
  </si>
  <si>
    <t>4/0</t>
  </si>
  <si>
    <t>3/0</t>
  </si>
  <si>
    <t>5/0</t>
  </si>
  <si>
    <t>UN</t>
  </si>
  <si>
    <t>月</t>
  </si>
  <si>
    <t>火</t>
  </si>
  <si>
    <t>水</t>
  </si>
  <si>
    <t>木</t>
  </si>
  <si>
    <t>金</t>
  </si>
  <si>
    <t>土</t>
  </si>
  <si>
    <t>基本人数設定</t>
  </si>
  <si>
    <t>必要人数の最大値は，41人です。また，設定人数のカウント対象となるモダリティは，「MR」「TV」「KS」「NM」「AG」「RT」「XP」「MG」「MT」「CT」「XO」「FR」「八援」「UN」です。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</si>
</sst>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"/>
    <numFmt numFmtId="177" formatCode="aaa"/>
    <numFmt numFmtId="178" formatCode="yyyy/mm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indexed="14"/>
      <name val="游ゴシック"/>
      <family val="3"/>
      <charset val="128"/>
      <scheme val="minor"/>
    </font>
    <font>
      <sz val="11"/>
      <color rgb="FF080808"/>
      <name val="游ゴシック"/>
      <family val="3"/>
      <charset val="128"/>
      <scheme val="minor"/>
    </font>
    <font>
      <sz val="11"/>
      <color indexed="8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i/>
      <sz val="11"/>
      <color indexed="1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8FAFA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55FF"/>
        <bgColor indexed="64"/>
      </patternFill>
    </fill>
  </fills>
  <borders count="52">
    <border>
      <left/>
      <right/>
      <top/>
      <bottom/>
      <diagonal/>
    </border>
    <border>
      <left style="hair">
        <color rgb="FF292929"/>
      </left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/>
      <diagonal/>
    </border>
    <border>
      <left style="hair">
        <color rgb="FF292929"/>
      </left>
      <right style="medium">
        <color rgb="FF292929"/>
      </right>
      <top/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/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/>
      <top style="medium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/>
      <diagonal/>
    </border>
    <border>
      <left style="hair">
        <color rgb="FF292929"/>
      </left>
      <right/>
      <top style="hair">
        <color rgb="FF292929"/>
      </top>
      <bottom style="medium">
        <color rgb="FF292929"/>
      </bottom>
      <diagonal/>
    </border>
    <border>
      <left style="hair">
        <color rgb="FF292929"/>
      </left>
      <right/>
      <top/>
      <bottom style="hair">
        <color rgb="FF292929"/>
      </bottom>
      <diagonal/>
    </border>
    <border>
      <left style="hair">
        <color rgb="FF292929"/>
      </left>
      <right/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/>
      <bottom style="medium">
        <color rgb="FF292929"/>
      </bottom>
      <diagonal/>
    </border>
    <border>
      <left style="hair">
        <color rgb="FF292929"/>
      </left>
      <right/>
      <top/>
      <bottom style="medium">
        <color rgb="FF292929"/>
      </bottom>
      <diagonal/>
    </border>
    <border>
      <left style="hair">
        <color rgb="FF292929"/>
      </left>
      <right/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medium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/>
      <top style="thin">
        <color rgb="FF000000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thin">
        <color rgb="FF000000"/>
      </top>
      <bottom style="hair">
        <color rgb="FF292929"/>
      </bottom>
      <diagonal/>
    </border>
    <border>
      <left/>
      <right style="hair">
        <color rgb="FF292929"/>
      </right>
      <top style="medium">
        <color rgb="FF292929"/>
      </top>
      <bottom style="medium">
        <color rgb="FF292929"/>
      </bottom>
      <diagonal/>
    </border>
  </borders>
  <cellStyleXfs count="1">
    <xf numFmtId="0" fontId="0" fillId="0" borderId="0">
      <alignment vertical="center"/>
    </xf>
  </cellStyleXfs>
  <cellXfs count="2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top" textRotation="180"/>
    </xf>
    <xf numFmtId="0" fontId="0" fillId="3" borderId="4" xfId="0" applyFill="1" applyBorder="1" applyAlignment="1">
      <alignment horizontal="center" vertical="top" textRotation="180"/>
    </xf>
    <xf numFmtId="0" fontId="0" fillId="3" borderId="16" xfId="0" applyFill="1" applyBorder="1" applyAlignment="1">
      <alignment horizontal="center" vertical="top" textRotation="180"/>
    </xf>
    <xf numFmtId="0" fontId="0" fillId="5" borderId="4" xfId="0" applyFill="1" applyBorder="1" applyAlignment="1">
      <alignment horizontal="center" vertical="top" textRotation="180"/>
    </xf>
    <xf numFmtId="0" fontId="0" fillId="2" borderId="21" xfId="0" applyFill="1" applyBorder="1" applyAlignment="1">
      <alignment horizontal="center" vertical="top" textRotation="180"/>
    </xf>
    <xf numFmtId="0" fontId="0" fillId="3" borderId="9" xfId="0" applyFill="1" applyBorder="1" applyAlignment="1">
      <alignment horizontal="center" vertical="top" textRotation="180"/>
    </xf>
    <xf numFmtId="0" fontId="0" fillId="2" borderId="6" xfId="0" applyFill="1" applyBorder="1" applyAlignment="1">
      <alignment horizontal="center" vertical="top" textRotation="180"/>
    </xf>
    <xf numFmtId="0" fontId="0" fillId="3" borderId="6" xfId="0" applyFill="1" applyBorder="1" applyAlignment="1">
      <alignment horizontal="center" vertical="top" textRotation="180"/>
    </xf>
    <xf numFmtId="0" fontId="0" fillId="4" borderId="6" xfId="0" applyFill="1" applyBorder="1" applyAlignment="1">
      <alignment horizontal="center" vertical="top" textRotation="180"/>
    </xf>
    <xf numFmtId="0" fontId="0" fillId="5" borderId="6" xfId="0" applyFill="1" applyBorder="1" applyAlignment="1">
      <alignment horizontal="center" vertical="top" textRotation="180"/>
    </xf>
    <xf numFmtId="0" fontId="0" fillId="2" borderId="12" xfId="0" applyFill="1" applyBorder="1" applyAlignment="1">
      <alignment horizontal="center" vertical="top" textRotation="180"/>
    </xf>
    <xf numFmtId="0" fontId="0" fillId="4" borderId="4" xfId="0" applyFill="1" applyBorder="1" applyAlignment="1">
      <alignment horizontal="center" vertical="top" textRotation="180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78" fontId="2" fillId="0" borderId="31" xfId="0" applyNumberFormat="1" applyFont="1" applyBorder="1" applyAlignment="1">
      <alignment horizontal="center" vertical="center" textRotation="180"/>
    </xf>
    <xf numFmtId="178" fontId="3" fillId="0" borderId="31" xfId="0" applyNumberFormat="1" applyFont="1" applyBorder="1" applyAlignment="1">
      <alignment horizontal="center" vertical="center" textRotation="180"/>
    </xf>
    <xf numFmtId="178" fontId="2" fillId="0" borderId="33" xfId="0" applyNumberFormat="1" applyFont="1" applyBorder="1" applyAlignment="1">
      <alignment horizontal="center" vertical="center" textRotation="180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178" fontId="2" fillId="0" borderId="42" xfId="0" applyNumberFormat="1" applyFont="1" applyBorder="1" applyAlignment="1">
      <alignment horizontal="center" vertical="center" textRotation="180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 textRotation="255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/>
    </xf>
    <xf numFmtId="49" fontId="0" fillId="0" borderId="47" xfId="0" applyNumberFormat="1" applyBorder="1" applyAlignment="1">
      <alignment horizontal="center" vertical="center"/>
    </xf>
    <xf numFmtId="49" fontId="0" fillId="0" borderId="48" xfId="0" applyNumberFormat="1" applyBorder="1" applyAlignment="1">
      <alignment horizontal="center" vertical="center"/>
    </xf>
    <xf numFmtId="49" fontId="0" fillId="0" borderId="49" xfId="0" applyNumberForma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49" fontId="7" fillId="0" borderId="12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/>
    </xf>
    <xf numFmtId="49" fontId="8" fillId="0" borderId="34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35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8" fillId="0" borderId="36" xfId="0" applyNumberFormat="1" applyFont="1" applyBorder="1" applyAlignment="1">
      <alignment horizontal="center" vertical="center"/>
    </xf>
    <xf numFmtId="49" fontId="8" fillId="0" borderId="47" xfId="0" applyNumberFormat="1" applyFont="1" applyBorder="1" applyAlignment="1">
      <alignment horizontal="center" vertical="center"/>
    </xf>
    <xf numFmtId="49" fontId="8" fillId="0" borderId="48" xfId="0" applyNumberFormat="1" applyFont="1" applyBorder="1" applyAlignment="1">
      <alignment horizontal="center" vertical="center"/>
    </xf>
    <xf numFmtId="49" fontId="8" fillId="0" borderId="49" xfId="0" applyNumberFormat="1" applyFont="1" applyBorder="1" applyAlignment="1">
      <alignment horizontal="center" vertical="center"/>
    </xf>
    <xf numFmtId="49" fontId="8" fillId="0" borderId="15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49" fontId="8" fillId="0" borderId="38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176" fontId="8" fillId="6" borderId="1" xfId="0" applyNumberFormat="1" applyFont="1" applyFill="1" applyBorder="1" applyAlignment="1">
      <alignment horizontal="center" vertical="center"/>
    </xf>
    <xf numFmtId="177" fontId="8" fillId="6" borderId="8" xfId="0" applyNumberFormat="1" applyFont="1" applyFill="1" applyBorder="1" applyAlignment="1">
      <alignment horizontal="center" vertical="center"/>
    </xf>
    <xf numFmtId="176" fontId="8" fillId="0" borderId="15" xfId="0" applyNumberFormat="1" applyFont="1" applyFill="1" applyBorder="1" applyAlignment="1">
      <alignment horizontal="center" vertical="center"/>
    </xf>
    <xf numFmtId="176" fontId="8" fillId="0" borderId="1" xfId="0" applyNumberFormat="1" applyFont="1" applyFill="1" applyBorder="1" applyAlignment="1">
      <alignment horizontal="center" vertical="center"/>
    </xf>
    <xf numFmtId="177" fontId="8" fillId="0" borderId="11" xfId="0" applyNumberFormat="1" applyFont="1" applyFill="1" applyBorder="1" applyAlignment="1">
      <alignment horizontal="center" vertical="center"/>
    </xf>
    <xf numFmtId="177" fontId="8" fillId="0" borderId="8" xfId="0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 vertical="center" textRotation="255"/>
    </xf>
    <xf numFmtId="0" fontId="0" fillId="0" borderId="30" xfId="0" applyBorder="1" applyAlignment="1">
      <alignment horizontal="center" vertical="center" textRotation="255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176" fontId="8" fillId="6" borderId="38" xfId="0" applyNumberFormat="1" applyFont="1" applyFill="1" applyBorder="1" applyAlignment="1">
      <alignment horizontal="center" vertical="center"/>
    </xf>
    <xf numFmtId="177" fontId="8" fillId="6" borderId="37" xfId="0" applyNumberFormat="1" applyFont="1" applyFill="1" applyBorder="1" applyAlignment="1">
      <alignment horizontal="center" vertical="center"/>
    </xf>
    <xf numFmtId="49" fontId="10" fillId="0" borderId="16" xfId="0" applyNumberFormat="1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49" fontId="10" fillId="0" borderId="36" xfId="0" applyNumberFormat="1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76" fontId="10" fillId="6" borderId="1" xfId="0" applyNumberFormat="1" applyFont="1" applyFill="1" applyBorder="1" applyAlignment="1">
      <alignment horizontal="center" vertical="center"/>
    </xf>
    <xf numFmtId="177" fontId="10" fillId="6" borderId="8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275"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</dxfs>
  <tableStyles count="0" defaultTableStyle="TableStyleMedium2" defaultPivotStyle="PivotStyleLight16"/>
  <colors>
    <mruColors>
      <color rgb="FF080808"/>
      <color rgb="FF777777"/>
      <color rgb="FFB2B2B2"/>
      <color rgb="FF9900FF"/>
      <color rgb="FFFF00FF"/>
      <color rgb="FFFF99FF"/>
      <color rgb="FFFFCCCC"/>
      <color rgb="FFFFCC66"/>
      <color rgb="FFFF9900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38100</xdr:rowOff>
        </xdr:from>
        <xdr:to>
          <xdr:col>2</xdr:col>
          <xdr:colOff>800100</xdr:colOff>
          <xdr:row>2</xdr:row>
          <xdr:rowOff>171450</xdr:rowOff>
        </xdr:to>
        <xdr:sp macro="" textlink="">
          <xdr:nvSpPr>
            <xdr:cNvPr id="1036" name="CalendarBo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2</xdr:col>
          <xdr:colOff>419100</xdr:colOff>
          <xdr:row>2</xdr:row>
          <xdr:rowOff>123825</xdr:rowOff>
        </xdr:to>
        <xdr:sp macro="" textlink="">
          <xdr:nvSpPr>
            <xdr:cNvPr id="2049" name="CalendarBox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419100</xdr:rowOff>
        </xdr:from>
        <xdr:to>
          <xdr:col>2</xdr:col>
          <xdr:colOff>381000</xdr:colOff>
          <xdr:row>1</xdr:row>
          <xdr:rowOff>66675</xdr:rowOff>
        </xdr:to>
        <xdr:sp macro="" textlink="">
          <xdr:nvSpPr>
            <xdr:cNvPr id="3073" name="Calenda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2</xdr:col>
          <xdr:colOff>276225</xdr:colOff>
          <xdr:row>1</xdr:row>
          <xdr:rowOff>171450</xdr:rowOff>
        </xdr:to>
        <xdr:sp macro="" textlink="">
          <xdr:nvSpPr>
            <xdr:cNvPr id="6145" name="CalendarBox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133350</xdr:rowOff>
        </xdr:from>
        <xdr:to>
          <xdr:col>2</xdr:col>
          <xdr:colOff>533400</xdr:colOff>
          <xdr:row>2</xdr:row>
          <xdr:rowOff>276225</xdr:rowOff>
        </xdr:to>
        <xdr:sp macro="" textlink="">
          <xdr:nvSpPr>
            <xdr:cNvPr id="5126" name="CalendarBox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47625</xdr:rowOff>
        </xdr:from>
        <xdr:to>
          <xdr:col>1</xdr:col>
          <xdr:colOff>114300</xdr:colOff>
          <xdr:row>1</xdr:row>
          <xdr:rowOff>200025</xdr:rowOff>
        </xdr:to>
        <xdr:sp macro="" textlink="">
          <xdr:nvSpPr>
            <xdr:cNvPr id="4120" name="EditButton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5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47625</xdr:rowOff>
        </xdr:from>
        <xdr:to>
          <xdr:col>2</xdr:col>
          <xdr:colOff>247650</xdr:colOff>
          <xdr:row>1</xdr:row>
          <xdr:rowOff>200025</xdr:rowOff>
        </xdr:to>
        <xdr:sp macro="" textlink="">
          <xdr:nvSpPr>
            <xdr:cNvPr id="4122" name="NewButton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5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DB475-EB52-4EFC-92BC-570B4981A536}">
  <sheetPr codeName="Sheet1"/>
  <dimension ref="A1:BC120"/>
  <sheetViews>
    <sheetView tabSelected="1" zoomScale="80" zoomScaleNormal="80" workbookViewId="0">
      <pane xSplit="4" ySplit="4" topLeftCell="E68" activePane="bottomRight" state="frozenSplit"/>
      <selection pane="topRight" activeCell="E1" sqref="E1"/>
      <selection pane="bottomLeft" activeCell="A9" sqref="A9"/>
      <selection pane="bottomRight" activeCell="V79" sqref="V79"/>
    </sheetView>
  </sheetViews>
  <sheetFormatPr defaultColWidth="8.625" defaultRowHeight="20.100000000000001" customHeight="1" x14ac:dyDescent="0.4"/>
  <cols>
    <col min="1" max="1" width="5.625" style="1" customWidth="1"/>
    <col min="2" max="2" width="8.625" style="1" customWidth="1"/>
    <col min="3" max="3" width="10.625" style="1" customWidth="1"/>
    <col min="4" max="36" width="6.625" style="1" customWidth="1"/>
    <col min="37" max="56" width="5.125" style="1" customWidth="1"/>
    <col min="57" max="16384" width="8.625" style="1"/>
  </cols>
  <sheetData>
    <row r="1" spans="1:55" ht="20.100000000000001" customHeight="1" thickBot="1" x14ac:dyDescent="0.45">
      <c r="A1" s="163" t="s">
        <v>353</v>
      </c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59"/>
      <c r="X1" s="259"/>
      <c r="Y1" s="259"/>
      <c r="Z1" s="259"/>
      <c r="AA1" s="259"/>
      <c r="AB1" s="259"/>
      <c r="AC1" s="259"/>
      <c r="AD1" s="259"/>
      <c r="AE1" s="259"/>
      <c r="AF1" s="259"/>
      <c r="AG1" s="259"/>
      <c r="AH1" s="259"/>
      <c r="AI1" s="259"/>
      <c r="AJ1" s="259"/>
    </row>
    <row r="2" spans="1:55" ht="20.100000000000001" customHeight="1" thickBot="1" x14ac:dyDescent="0.45">
      <c r="E2" s="165">
        <v>-1</v>
      </c>
      <c r="F2" s="164">
        <v>-1</v>
      </c>
      <c r="G2" s="164">
        <v>-2</v>
      </c>
      <c r="H2" s="164">
        <v>0</v>
      </c>
      <c r="I2" s="164">
        <v>-3</v>
      </c>
      <c r="J2" s="164">
        <v>-2</v>
      </c>
      <c r="K2" s="164">
        <v>-2</v>
      </c>
      <c r="L2" s="164">
        <v>-2</v>
      </c>
      <c r="M2" s="164">
        <v>-2</v>
      </c>
      <c r="N2" s="164">
        <v>0</v>
      </c>
      <c r="O2" s="164">
        <v>0</v>
      </c>
      <c r="P2" s="164">
        <v>-2</v>
      </c>
      <c r="Q2" s="164">
        <v>-1</v>
      </c>
      <c r="R2" s="164">
        <v>0</v>
      </c>
      <c r="S2" s="164">
        <v>-1</v>
      </c>
      <c r="T2" s="164">
        <v>-1</v>
      </c>
      <c r="U2" s="164">
        <v>-3</v>
      </c>
      <c r="V2" s="164">
        <v>0</v>
      </c>
      <c r="W2" s="164">
        <v>0</v>
      </c>
      <c r="X2" s="164">
        <v>-2</v>
      </c>
      <c r="Y2" s="164">
        <v>-2</v>
      </c>
      <c r="Z2" s="164">
        <v>-2</v>
      </c>
      <c r="AA2" s="164">
        <v>-2</v>
      </c>
      <c r="AB2" s="164">
        <v>0</v>
      </c>
      <c r="AC2" s="164">
        <v>0</v>
      </c>
      <c r="AD2" s="164">
        <v>-3</v>
      </c>
      <c r="AE2" s="164">
        <v>-3</v>
      </c>
      <c r="AF2" s="164">
        <v>0</v>
      </c>
      <c r="AG2" s="164">
        <v>0</v>
      </c>
      <c r="AH2" s="164">
        <v>0</v>
      </c>
      <c r="AI2" s="164">
        <v>-4</v>
      </c>
      <c r="AJ2" s="166">
        <v>0</v>
      </c>
    </row>
    <row r="3" spans="1:55" ht="20.100000000000001" customHeight="1" x14ac:dyDescent="0.4">
      <c r="E3" s="216">
        <v>45169</v>
      </c>
      <c r="F3" s="217">
        <v>45170</v>
      </c>
      <c r="G3" s="217">
        <v>45171</v>
      </c>
      <c r="H3" s="214">
        <v>45172</v>
      </c>
      <c r="I3" s="217">
        <v>45173</v>
      </c>
      <c r="J3" s="217">
        <v>45174</v>
      </c>
      <c r="K3" s="217">
        <v>45175</v>
      </c>
      <c r="L3" s="217">
        <v>45176</v>
      </c>
      <c r="M3" s="217">
        <v>45177</v>
      </c>
      <c r="N3" s="214">
        <v>45178</v>
      </c>
      <c r="O3" s="214">
        <v>45179</v>
      </c>
      <c r="P3" s="217">
        <v>45180</v>
      </c>
      <c r="Q3" s="217">
        <v>45181</v>
      </c>
      <c r="R3" s="217">
        <v>45182</v>
      </c>
      <c r="S3" s="217">
        <v>45183</v>
      </c>
      <c r="T3" s="217">
        <v>45184</v>
      </c>
      <c r="U3" s="217">
        <v>45185</v>
      </c>
      <c r="V3" s="260">
        <v>45186</v>
      </c>
      <c r="W3" s="214">
        <v>45187</v>
      </c>
      <c r="X3" s="217">
        <v>45188</v>
      </c>
      <c r="Y3" s="217">
        <v>45189</v>
      </c>
      <c r="Z3" s="217">
        <v>45190</v>
      </c>
      <c r="AA3" s="217">
        <v>45191</v>
      </c>
      <c r="AB3" s="214">
        <v>45192</v>
      </c>
      <c r="AC3" s="214">
        <v>45193</v>
      </c>
      <c r="AD3" s="217">
        <v>45194</v>
      </c>
      <c r="AE3" s="217">
        <v>45195</v>
      </c>
      <c r="AF3" s="217">
        <v>45196</v>
      </c>
      <c r="AG3" s="217">
        <v>45197</v>
      </c>
      <c r="AH3" s="217">
        <v>45198</v>
      </c>
      <c r="AI3" s="217">
        <v>45199</v>
      </c>
      <c r="AJ3" s="246">
        <v>45200</v>
      </c>
      <c r="AK3" s="230" t="s">
        <v>343</v>
      </c>
      <c r="AL3" s="231"/>
      <c r="AM3" s="231"/>
      <c r="AN3" s="231"/>
      <c r="AO3" s="231"/>
      <c r="AP3" s="231"/>
      <c r="AQ3" s="231"/>
      <c r="AR3" s="231"/>
      <c r="AS3" s="232"/>
      <c r="AT3" s="230" t="s">
        <v>344</v>
      </c>
      <c r="AU3" s="231"/>
      <c r="AV3" s="231"/>
      <c r="AW3" s="231"/>
      <c r="AX3" s="231"/>
      <c r="AY3" s="231"/>
      <c r="AZ3" s="231"/>
      <c r="BA3" s="231"/>
      <c r="BB3" s="232"/>
      <c r="BC3" s="228" t="s">
        <v>341</v>
      </c>
    </row>
    <row r="4" spans="1:55" ht="20.100000000000001" customHeight="1" thickBot="1" x14ac:dyDescent="0.45">
      <c r="E4" s="218">
        <v>45169</v>
      </c>
      <c r="F4" s="219">
        <v>45170</v>
      </c>
      <c r="G4" s="219">
        <v>45171</v>
      </c>
      <c r="H4" s="215">
        <v>45172</v>
      </c>
      <c r="I4" s="219">
        <v>45173</v>
      </c>
      <c r="J4" s="219">
        <v>45174</v>
      </c>
      <c r="K4" s="219">
        <v>45175</v>
      </c>
      <c r="L4" s="219">
        <v>45176</v>
      </c>
      <c r="M4" s="219">
        <v>45177</v>
      </c>
      <c r="N4" s="215">
        <v>45178</v>
      </c>
      <c r="O4" s="215">
        <v>45179</v>
      </c>
      <c r="P4" s="219">
        <v>45180</v>
      </c>
      <c r="Q4" s="219">
        <v>45181</v>
      </c>
      <c r="R4" s="219">
        <v>45182</v>
      </c>
      <c r="S4" s="219">
        <v>45183</v>
      </c>
      <c r="T4" s="219">
        <v>45184</v>
      </c>
      <c r="U4" s="219">
        <v>45185</v>
      </c>
      <c r="V4" s="261">
        <v>45186</v>
      </c>
      <c r="W4" s="215">
        <v>45187</v>
      </c>
      <c r="X4" s="219">
        <v>45188</v>
      </c>
      <c r="Y4" s="219">
        <v>45189</v>
      </c>
      <c r="Z4" s="219">
        <v>45190</v>
      </c>
      <c r="AA4" s="219">
        <v>45191</v>
      </c>
      <c r="AB4" s="215">
        <v>45192</v>
      </c>
      <c r="AC4" s="215">
        <v>45193</v>
      </c>
      <c r="AD4" s="219">
        <v>45194</v>
      </c>
      <c r="AE4" s="219">
        <v>45195</v>
      </c>
      <c r="AF4" s="219">
        <v>45196</v>
      </c>
      <c r="AG4" s="219">
        <v>45197</v>
      </c>
      <c r="AH4" s="219">
        <v>45198</v>
      </c>
      <c r="AI4" s="219">
        <v>45199</v>
      </c>
      <c r="AJ4" s="247">
        <v>45200</v>
      </c>
      <c r="AK4" s="224" t="s">
        <v>333</v>
      </c>
      <c r="AL4" s="19" t="s">
        <v>334</v>
      </c>
      <c r="AM4" s="19" t="s">
        <v>335</v>
      </c>
      <c r="AN4" s="19" t="s">
        <v>336</v>
      </c>
      <c r="AO4" s="19" t="s">
        <v>337</v>
      </c>
      <c r="AP4" s="19" t="s">
        <v>338</v>
      </c>
      <c r="AQ4" s="19" t="s">
        <v>339</v>
      </c>
      <c r="AR4" s="19" t="s">
        <v>340</v>
      </c>
      <c r="AS4" s="167" t="s">
        <v>352</v>
      </c>
      <c r="AT4" s="224" t="s">
        <v>333</v>
      </c>
      <c r="AU4" s="19" t="s">
        <v>334</v>
      </c>
      <c r="AV4" s="19" t="s">
        <v>335</v>
      </c>
      <c r="AW4" s="19" t="s">
        <v>336</v>
      </c>
      <c r="AX4" s="19" t="s">
        <v>337</v>
      </c>
      <c r="AY4" s="19" t="s">
        <v>338</v>
      </c>
      <c r="AZ4" s="19" t="s">
        <v>339</v>
      </c>
      <c r="BA4" s="19" t="s">
        <v>340</v>
      </c>
      <c r="BB4" s="167" t="s">
        <v>352</v>
      </c>
      <c r="BC4" s="229"/>
    </row>
    <row r="5" spans="1:55" ht="20.100000000000001" customHeight="1" x14ac:dyDescent="0.4">
      <c r="A5" s="182">
        <v>8</v>
      </c>
      <c r="B5" s="183" t="s">
        <v>59</v>
      </c>
      <c r="C5" s="183" t="s">
        <v>60</v>
      </c>
      <c r="D5" s="184" t="s">
        <v>61</v>
      </c>
      <c r="E5" s="1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 t="s">
        <v>32</v>
      </c>
      <c r="W5" s="2" t="s">
        <v>32</v>
      </c>
      <c r="X5" s="2" t="s">
        <v>336</v>
      </c>
      <c r="Y5" s="2" t="s">
        <v>336</v>
      </c>
      <c r="Z5" s="2" t="s">
        <v>336</v>
      </c>
      <c r="AA5" s="2" t="s">
        <v>336</v>
      </c>
      <c r="AB5" s="2" t="s">
        <v>32</v>
      </c>
      <c r="AC5" s="2" t="s">
        <v>32</v>
      </c>
      <c r="AD5" s="2"/>
      <c r="AE5" s="2"/>
      <c r="AF5" s="2"/>
      <c r="AG5" s="2"/>
      <c r="AH5" s="2"/>
      <c r="AI5" s="2"/>
      <c r="AJ5" s="168"/>
      <c r="AK5" s="199">
        <v>0</v>
      </c>
      <c r="AL5" s="200">
        <v>0</v>
      </c>
      <c r="AM5" s="200">
        <v>0</v>
      </c>
      <c r="AN5" s="200">
        <v>4</v>
      </c>
      <c r="AO5" s="200">
        <v>0</v>
      </c>
      <c r="AP5" s="200">
        <v>0</v>
      </c>
      <c r="AQ5" s="200">
        <v>0</v>
      </c>
      <c r="AR5" s="200">
        <v>0</v>
      </c>
      <c r="AS5" s="201">
        <v>0</v>
      </c>
      <c r="AT5" s="199">
        <v>24</v>
      </c>
      <c r="AU5" s="200">
        <v>2</v>
      </c>
      <c r="AV5" s="200">
        <v>0</v>
      </c>
      <c r="AW5" s="200">
        <v>4</v>
      </c>
      <c r="AX5" s="200">
        <v>0</v>
      </c>
      <c r="AY5" s="200">
        <v>0</v>
      </c>
      <c r="AZ5" s="200">
        <v>8</v>
      </c>
      <c r="BA5" s="200">
        <v>0</v>
      </c>
      <c r="BB5" s="201">
        <v>0</v>
      </c>
      <c r="BC5" s="171">
        <v>38</v>
      </c>
    </row>
    <row r="6" spans="1:55" ht="20.100000000000001" customHeight="1" x14ac:dyDescent="0.4">
      <c r="A6" s="185">
        <v>50</v>
      </c>
      <c r="B6" s="186" t="s">
        <v>168</v>
      </c>
      <c r="C6" s="186" t="s">
        <v>169</v>
      </c>
      <c r="D6" s="187" t="s">
        <v>61</v>
      </c>
      <c r="E6" s="9"/>
      <c r="F6" s="3"/>
      <c r="G6" s="3"/>
      <c r="H6" s="3"/>
      <c r="I6" s="3" t="s">
        <v>338</v>
      </c>
      <c r="J6" s="3" t="s">
        <v>338</v>
      </c>
      <c r="K6" s="3" t="s">
        <v>338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169"/>
      <c r="AK6" s="202">
        <v>0</v>
      </c>
      <c r="AL6" s="203">
        <v>0</v>
      </c>
      <c r="AM6" s="203">
        <v>0</v>
      </c>
      <c r="AN6" s="203">
        <v>0</v>
      </c>
      <c r="AO6" s="203">
        <v>0</v>
      </c>
      <c r="AP6" s="203">
        <v>3</v>
      </c>
      <c r="AQ6" s="203">
        <v>0</v>
      </c>
      <c r="AR6" s="203">
        <v>0</v>
      </c>
      <c r="AS6" s="204">
        <v>0</v>
      </c>
      <c r="AT6" s="202">
        <v>23</v>
      </c>
      <c r="AU6" s="203">
        <v>3</v>
      </c>
      <c r="AV6" s="203">
        <v>0</v>
      </c>
      <c r="AW6" s="203">
        <v>8</v>
      </c>
      <c r="AX6" s="203">
        <v>0</v>
      </c>
      <c r="AY6" s="203">
        <v>3</v>
      </c>
      <c r="AZ6" s="203">
        <v>6</v>
      </c>
      <c r="BA6" s="203">
        <v>2</v>
      </c>
      <c r="BB6" s="204">
        <v>0</v>
      </c>
      <c r="BC6" s="76">
        <v>37</v>
      </c>
    </row>
    <row r="7" spans="1:55" ht="20.100000000000001" customHeight="1" x14ac:dyDescent="0.4">
      <c r="A7" s="185">
        <v>4</v>
      </c>
      <c r="B7" s="186" t="s">
        <v>36</v>
      </c>
      <c r="C7" s="186" t="s">
        <v>37</v>
      </c>
      <c r="D7" s="187" t="s">
        <v>38</v>
      </c>
      <c r="E7" s="9"/>
      <c r="F7" s="3"/>
      <c r="G7" s="3"/>
      <c r="H7" s="3" t="s">
        <v>32</v>
      </c>
      <c r="I7" s="3" t="s">
        <v>336</v>
      </c>
      <c r="J7" s="3" t="s">
        <v>336</v>
      </c>
      <c r="K7" s="3" t="s">
        <v>336</v>
      </c>
      <c r="L7" s="3" t="s">
        <v>336</v>
      </c>
      <c r="M7" s="3" t="s">
        <v>336</v>
      </c>
      <c r="N7" s="3" t="s">
        <v>32</v>
      </c>
      <c r="O7" s="3" t="s">
        <v>32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169" t="s">
        <v>32</v>
      </c>
      <c r="AK7" s="202">
        <v>0</v>
      </c>
      <c r="AL7" s="203">
        <v>0</v>
      </c>
      <c r="AM7" s="203">
        <v>0</v>
      </c>
      <c r="AN7" s="203">
        <v>5</v>
      </c>
      <c r="AO7" s="203">
        <v>0</v>
      </c>
      <c r="AP7" s="203">
        <v>0</v>
      </c>
      <c r="AQ7" s="203">
        <v>0</v>
      </c>
      <c r="AR7" s="203">
        <v>0</v>
      </c>
      <c r="AS7" s="204">
        <v>0</v>
      </c>
      <c r="AT7" s="202">
        <v>23</v>
      </c>
      <c r="AU7" s="203">
        <v>4</v>
      </c>
      <c r="AV7" s="203">
        <v>2</v>
      </c>
      <c r="AW7" s="203">
        <v>12</v>
      </c>
      <c r="AX7" s="203">
        <v>0</v>
      </c>
      <c r="AY7" s="203">
        <v>0</v>
      </c>
      <c r="AZ7" s="203">
        <v>0</v>
      </c>
      <c r="BA7" s="203">
        <v>0</v>
      </c>
      <c r="BB7" s="204">
        <v>0</v>
      </c>
      <c r="BC7" s="76">
        <v>35</v>
      </c>
    </row>
    <row r="8" spans="1:55" ht="20.100000000000001" customHeight="1" x14ac:dyDescent="0.4">
      <c r="A8" s="185">
        <v>20</v>
      </c>
      <c r="B8" s="186" t="s">
        <v>39</v>
      </c>
      <c r="C8" s="186" t="s">
        <v>40</v>
      </c>
      <c r="D8" s="187" t="s">
        <v>38</v>
      </c>
      <c r="E8" s="9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169"/>
      <c r="AK8" s="202">
        <v>0</v>
      </c>
      <c r="AL8" s="203">
        <v>0</v>
      </c>
      <c r="AM8" s="203">
        <v>0</v>
      </c>
      <c r="AN8" s="203">
        <v>0</v>
      </c>
      <c r="AO8" s="203">
        <v>0</v>
      </c>
      <c r="AP8" s="203">
        <v>0</v>
      </c>
      <c r="AQ8" s="203">
        <v>0</v>
      </c>
      <c r="AR8" s="203">
        <v>0</v>
      </c>
      <c r="AS8" s="204">
        <v>0</v>
      </c>
      <c r="AT8" s="202">
        <v>25</v>
      </c>
      <c r="AU8" s="203">
        <v>3</v>
      </c>
      <c r="AV8" s="203">
        <v>2</v>
      </c>
      <c r="AW8" s="203">
        <v>5</v>
      </c>
      <c r="AX8" s="203">
        <v>0</v>
      </c>
      <c r="AY8" s="203">
        <v>0</v>
      </c>
      <c r="AZ8" s="203">
        <v>0</v>
      </c>
      <c r="BA8" s="203">
        <v>0</v>
      </c>
      <c r="BB8" s="204">
        <v>0</v>
      </c>
      <c r="BC8" s="76">
        <v>36</v>
      </c>
    </row>
    <row r="9" spans="1:55" ht="20.100000000000001" customHeight="1" x14ac:dyDescent="0.4">
      <c r="A9" s="188">
        <v>32</v>
      </c>
      <c r="B9" s="189" t="s">
        <v>41</v>
      </c>
      <c r="C9" s="189" t="s">
        <v>42</v>
      </c>
      <c r="D9" s="190" t="s">
        <v>38</v>
      </c>
      <c r="E9" s="13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 t="s">
        <v>32</v>
      </c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170"/>
      <c r="AK9" s="205">
        <v>0</v>
      </c>
      <c r="AL9" s="206">
        <v>0</v>
      </c>
      <c r="AM9" s="206">
        <v>0</v>
      </c>
      <c r="AN9" s="206">
        <v>0</v>
      </c>
      <c r="AO9" s="206">
        <v>0</v>
      </c>
      <c r="AP9" s="206">
        <v>0</v>
      </c>
      <c r="AQ9" s="206">
        <v>0</v>
      </c>
      <c r="AR9" s="206">
        <v>0</v>
      </c>
      <c r="AS9" s="207">
        <v>0</v>
      </c>
      <c r="AT9" s="205">
        <v>23</v>
      </c>
      <c r="AU9" s="206">
        <v>4</v>
      </c>
      <c r="AV9" s="206">
        <v>0</v>
      </c>
      <c r="AW9" s="206">
        <v>12</v>
      </c>
      <c r="AX9" s="206">
        <v>0</v>
      </c>
      <c r="AY9" s="206">
        <v>0</v>
      </c>
      <c r="AZ9" s="206">
        <v>0</v>
      </c>
      <c r="BA9" s="206">
        <v>0</v>
      </c>
      <c r="BB9" s="207">
        <v>0</v>
      </c>
      <c r="BC9" s="172">
        <v>36</v>
      </c>
    </row>
    <row r="10" spans="1:55" ht="20.100000000000001" customHeight="1" x14ac:dyDescent="0.4">
      <c r="A10" s="191">
        <v>36</v>
      </c>
      <c r="B10" s="192" t="s">
        <v>43</v>
      </c>
      <c r="C10" s="192" t="s">
        <v>44</v>
      </c>
      <c r="D10" s="193" t="s">
        <v>38</v>
      </c>
      <c r="E10" s="177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9"/>
      <c r="AK10" s="208">
        <v>0</v>
      </c>
      <c r="AL10" s="209">
        <v>0</v>
      </c>
      <c r="AM10" s="209">
        <v>0</v>
      </c>
      <c r="AN10" s="209">
        <v>0</v>
      </c>
      <c r="AO10" s="209">
        <v>0</v>
      </c>
      <c r="AP10" s="209">
        <v>0</v>
      </c>
      <c r="AQ10" s="209">
        <v>0</v>
      </c>
      <c r="AR10" s="209">
        <v>0</v>
      </c>
      <c r="AS10" s="210">
        <v>0</v>
      </c>
      <c r="AT10" s="208">
        <v>23</v>
      </c>
      <c r="AU10" s="209">
        <v>3</v>
      </c>
      <c r="AV10" s="209">
        <v>1</v>
      </c>
      <c r="AW10" s="209">
        <v>6</v>
      </c>
      <c r="AX10" s="209">
        <v>0</v>
      </c>
      <c r="AY10" s="209">
        <v>0</v>
      </c>
      <c r="AZ10" s="209">
        <v>0</v>
      </c>
      <c r="BA10" s="209">
        <v>0</v>
      </c>
      <c r="BB10" s="210">
        <v>0</v>
      </c>
      <c r="BC10" s="180">
        <v>36.5</v>
      </c>
    </row>
    <row r="11" spans="1:55" ht="20.100000000000001" customHeight="1" x14ac:dyDescent="0.4">
      <c r="A11" s="194">
        <v>41</v>
      </c>
      <c r="B11" s="195" t="s">
        <v>45</v>
      </c>
      <c r="C11" s="195" t="s">
        <v>46</v>
      </c>
      <c r="D11" s="196" t="s">
        <v>38</v>
      </c>
      <c r="E11" s="1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168"/>
      <c r="AK11" s="199">
        <v>0</v>
      </c>
      <c r="AL11" s="200">
        <v>0</v>
      </c>
      <c r="AM11" s="200">
        <v>0</v>
      </c>
      <c r="AN11" s="200">
        <v>0</v>
      </c>
      <c r="AO11" s="200">
        <v>0</v>
      </c>
      <c r="AP11" s="200">
        <v>0</v>
      </c>
      <c r="AQ11" s="200">
        <v>0</v>
      </c>
      <c r="AR11" s="200">
        <v>0</v>
      </c>
      <c r="AS11" s="201">
        <v>0</v>
      </c>
      <c r="AT11" s="199">
        <v>23</v>
      </c>
      <c r="AU11" s="200">
        <v>5</v>
      </c>
      <c r="AV11" s="200">
        <v>1</v>
      </c>
      <c r="AW11" s="200">
        <v>9</v>
      </c>
      <c r="AX11" s="200">
        <v>0</v>
      </c>
      <c r="AY11" s="200">
        <v>1</v>
      </c>
      <c r="AZ11" s="200">
        <v>0</v>
      </c>
      <c r="BA11" s="200">
        <v>0</v>
      </c>
      <c r="BB11" s="201">
        <v>0</v>
      </c>
      <c r="BC11" s="171">
        <v>34.5</v>
      </c>
    </row>
    <row r="12" spans="1:55" ht="20.100000000000001" customHeight="1" x14ac:dyDescent="0.4">
      <c r="A12" s="185">
        <v>43</v>
      </c>
      <c r="B12" s="186" t="s">
        <v>47</v>
      </c>
      <c r="C12" s="186" t="s">
        <v>48</v>
      </c>
      <c r="D12" s="187" t="s">
        <v>38</v>
      </c>
      <c r="E12" s="9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169"/>
      <c r="AK12" s="202">
        <v>0</v>
      </c>
      <c r="AL12" s="203">
        <v>0</v>
      </c>
      <c r="AM12" s="203">
        <v>0</v>
      </c>
      <c r="AN12" s="203">
        <v>0</v>
      </c>
      <c r="AO12" s="203">
        <v>0</v>
      </c>
      <c r="AP12" s="203">
        <v>0</v>
      </c>
      <c r="AQ12" s="203">
        <v>0</v>
      </c>
      <c r="AR12" s="203">
        <v>0</v>
      </c>
      <c r="AS12" s="204">
        <v>0</v>
      </c>
      <c r="AT12" s="202">
        <v>24</v>
      </c>
      <c r="AU12" s="203">
        <v>2</v>
      </c>
      <c r="AV12" s="203">
        <v>0</v>
      </c>
      <c r="AW12" s="203">
        <v>10</v>
      </c>
      <c r="AX12" s="203">
        <v>0</v>
      </c>
      <c r="AY12" s="203">
        <v>0</v>
      </c>
      <c r="AZ12" s="203">
        <v>0</v>
      </c>
      <c r="BA12" s="203">
        <v>0</v>
      </c>
      <c r="BB12" s="204">
        <v>0</v>
      </c>
      <c r="BC12" s="76">
        <v>38</v>
      </c>
    </row>
    <row r="13" spans="1:55" ht="20.100000000000001" customHeight="1" x14ac:dyDescent="0.4">
      <c r="A13" s="185">
        <v>90</v>
      </c>
      <c r="B13" s="186" t="s">
        <v>49</v>
      </c>
      <c r="C13" s="186" t="s">
        <v>50</v>
      </c>
      <c r="D13" s="187" t="s">
        <v>38</v>
      </c>
      <c r="E13" s="9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169"/>
      <c r="AK13" s="202">
        <v>0</v>
      </c>
      <c r="AL13" s="203">
        <v>0</v>
      </c>
      <c r="AM13" s="203">
        <v>0</v>
      </c>
      <c r="AN13" s="203">
        <v>0</v>
      </c>
      <c r="AO13" s="203">
        <v>0</v>
      </c>
      <c r="AP13" s="203">
        <v>0</v>
      </c>
      <c r="AQ13" s="203">
        <v>0</v>
      </c>
      <c r="AR13" s="203">
        <v>0</v>
      </c>
      <c r="AS13" s="204">
        <v>0</v>
      </c>
      <c r="AT13" s="202">
        <v>19</v>
      </c>
      <c r="AU13" s="203">
        <v>5</v>
      </c>
      <c r="AV13" s="203">
        <v>1</v>
      </c>
      <c r="AW13" s="203">
        <v>10</v>
      </c>
      <c r="AX13" s="203">
        <v>9</v>
      </c>
      <c r="AY13" s="203">
        <v>0</v>
      </c>
      <c r="AZ13" s="203">
        <v>2</v>
      </c>
      <c r="BA13" s="203">
        <v>4</v>
      </c>
      <c r="BB13" s="204">
        <v>0</v>
      </c>
      <c r="BC13" s="76">
        <v>34.5</v>
      </c>
    </row>
    <row r="14" spans="1:55" ht="20.100000000000001" customHeight="1" x14ac:dyDescent="0.4">
      <c r="A14" s="188">
        <v>54</v>
      </c>
      <c r="B14" s="189" t="s">
        <v>51</v>
      </c>
      <c r="C14" s="189" t="s">
        <v>52</v>
      </c>
      <c r="D14" s="190" t="s">
        <v>38</v>
      </c>
      <c r="E14" s="13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170"/>
      <c r="AK14" s="205">
        <v>0</v>
      </c>
      <c r="AL14" s="206">
        <v>0</v>
      </c>
      <c r="AM14" s="206">
        <v>0</v>
      </c>
      <c r="AN14" s="206">
        <v>0</v>
      </c>
      <c r="AO14" s="206">
        <v>0</v>
      </c>
      <c r="AP14" s="206">
        <v>0</v>
      </c>
      <c r="AQ14" s="206">
        <v>0</v>
      </c>
      <c r="AR14" s="206">
        <v>0</v>
      </c>
      <c r="AS14" s="207">
        <v>0</v>
      </c>
      <c r="AT14" s="205">
        <v>8</v>
      </c>
      <c r="AU14" s="206">
        <v>0</v>
      </c>
      <c r="AV14" s="206">
        <v>0</v>
      </c>
      <c r="AW14" s="206">
        <v>12</v>
      </c>
      <c r="AX14" s="206">
        <v>113</v>
      </c>
      <c r="AY14" s="206">
        <v>0</v>
      </c>
      <c r="AZ14" s="206">
        <v>0</v>
      </c>
      <c r="BA14" s="206">
        <v>0</v>
      </c>
      <c r="BB14" s="207">
        <v>0</v>
      </c>
      <c r="BC14" s="172">
        <v>35</v>
      </c>
    </row>
    <row r="15" spans="1:55" ht="20.100000000000001" customHeight="1" x14ac:dyDescent="0.4">
      <c r="A15" s="191">
        <v>56</v>
      </c>
      <c r="B15" s="192" t="s">
        <v>53</v>
      </c>
      <c r="C15" s="192" t="s">
        <v>54</v>
      </c>
      <c r="D15" s="193" t="s">
        <v>38</v>
      </c>
      <c r="E15" s="177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  <c r="AE15" s="178"/>
      <c r="AF15" s="178"/>
      <c r="AG15" s="178"/>
      <c r="AH15" s="178"/>
      <c r="AI15" s="178"/>
      <c r="AJ15" s="179"/>
      <c r="AK15" s="208">
        <v>0</v>
      </c>
      <c r="AL15" s="209">
        <v>0</v>
      </c>
      <c r="AM15" s="209">
        <v>0</v>
      </c>
      <c r="AN15" s="209">
        <v>0</v>
      </c>
      <c r="AO15" s="209">
        <v>0</v>
      </c>
      <c r="AP15" s="209">
        <v>0</v>
      </c>
      <c r="AQ15" s="209">
        <v>0</v>
      </c>
      <c r="AR15" s="209">
        <v>0</v>
      </c>
      <c r="AS15" s="210">
        <v>0</v>
      </c>
      <c r="AT15" s="208">
        <v>23</v>
      </c>
      <c r="AU15" s="209">
        <v>4</v>
      </c>
      <c r="AV15" s="209">
        <v>1</v>
      </c>
      <c r="AW15" s="209">
        <v>12</v>
      </c>
      <c r="AX15" s="209">
        <v>0</v>
      </c>
      <c r="AY15" s="209">
        <v>0</v>
      </c>
      <c r="AZ15" s="209">
        <v>0</v>
      </c>
      <c r="BA15" s="209">
        <v>5</v>
      </c>
      <c r="BB15" s="210">
        <v>0</v>
      </c>
      <c r="BC15" s="180">
        <v>30.5</v>
      </c>
    </row>
    <row r="16" spans="1:55" ht="20.100000000000001" customHeight="1" x14ac:dyDescent="0.4">
      <c r="A16" s="194">
        <v>62</v>
      </c>
      <c r="B16" s="195" t="s">
        <v>55</v>
      </c>
      <c r="C16" s="195" t="s">
        <v>56</v>
      </c>
      <c r="D16" s="196" t="s">
        <v>38</v>
      </c>
      <c r="E16" s="1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168"/>
      <c r="AK16" s="199">
        <v>0</v>
      </c>
      <c r="AL16" s="200">
        <v>0</v>
      </c>
      <c r="AM16" s="200">
        <v>0</v>
      </c>
      <c r="AN16" s="200">
        <v>0</v>
      </c>
      <c r="AO16" s="200">
        <v>0</v>
      </c>
      <c r="AP16" s="200">
        <v>0</v>
      </c>
      <c r="AQ16" s="200">
        <v>0</v>
      </c>
      <c r="AR16" s="200">
        <v>0</v>
      </c>
      <c r="AS16" s="201">
        <v>0</v>
      </c>
      <c r="AT16" s="199">
        <v>23</v>
      </c>
      <c r="AU16" s="200">
        <v>4</v>
      </c>
      <c r="AV16" s="200">
        <v>0</v>
      </c>
      <c r="AW16" s="200">
        <v>12</v>
      </c>
      <c r="AX16" s="200">
        <v>0</v>
      </c>
      <c r="AY16" s="200">
        <v>1</v>
      </c>
      <c r="AZ16" s="200">
        <v>0</v>
      </c>
      <c r="BA16" s="200">
        <v>5</v>
      </c>
      <c r="BB16" s="201">
        <v>0</v>
      </c>
      <c r="BC16" s="171">
        <v>26</v>
      </c>
    </row>
    <row r="17" spans="1:55" ht="20.100000000000001" customHeight="1" x14ac:dyDescent="0.4">
      <c r="A17" s="185">
        <v>66</v>
      </c>
      <c r="B17" s="186" t="s">
        <v>57</v>
      </c>
      <c r="C17" s="186" t="s">
        <v>58</v>
      </c>
      <c r="D17" s="187" t="s">
        <v>38</v>
      </c>
      <c r="E17" s="9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169"/>
      <c r="AK17" s="202">
        <v>0</v>
      </c>
      <c r="AL17" s="203">
        <v>0</v>
      </c>
      <c r="AM17" s="203">
        <v>0</v>
      </c>
      <c r="AN17" s="203">
        <v>0</v>
      </c>
      <c r="AO17" s="203">
        <v>0</v>
      </c>
      <c r="AP17" s="203">
        <v>0</v>
      </c>
      <c r="AQ17" s="203">
        <v>0</v>
      </c>
      <c r="AR17" s="203">
        <v>0</v>
      </c>
      <c r="AS17" s="204">
        <v>0</v>
      </c>
      <c r="AT17" s="202">
        <v>23</v>
      </c>
      <c r="AU17" s="203">
        <v>4</v>
      </c>
      <c r="AV17" s="203">
        <v>1</v>
      </c>
      <c r="AW17" s="203">
        <v>10</v>
      </c>
      <c r="AX17" s="203">
        <v>0</v>
      </c>
      <c r="AY17" s="203">
        <v>1</v>
      </c>
      <c r="AZ17" s="203">
        <v>0</v>
      </c>
      <c r="BA17" s="203">
        <v>5</v>
      </c>
      <c r="BB17" s="204">
        <v>0</v>
      </c>
      <c r="BC17" s="76">
        <v>25.5</v>
      </c>
    </row>
    <row r="18" spans="1:55" ht="20.100000000000001" customHeight="1" x14ac:dyDescent="0.4">
      <c r="A18" s="185">
        <v>15</v>
      </c>
      <c r="B18" s="186" t="s">
        <v>62</v>
      </c>
      <c r="C18" s="186" t="s">
        <v>63</v>
      </c>
      <c r="D18" s="187" t="s">
        <v>64</v>
      </c>
      <c r="E18" s="9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169"/>
      <c r="AK18" s="202">
        <v>0</v>
      </c>
      <c r="AL18" s="203">
        <v>0</v>
      </c>
      <c r="AM18" s="203">
        <v>0</v>
      </c>
      <c r="AN18" s="203">
        <v>0</v>
      </c>
      <c r="AO18" s="203">
        <v>0</v>
      </c>
      <c r="AP18" s="203">
        <v>0</v>
      </c>
      <c r="AQ18" s="203">
        <v>0</v>
      </c>
      <c r="AR18" s="203">
        <v>0</v>
      </c>
      <c r="AS18" s="204">
        <v>0</v>
      </c>
      <c r="AT18" s="202">
        <v>23</v>
      </c>
      <c r="AU18" s="203">
        <v>7</v>
      </c>
      <c r="AV18" s="203">
        <v>0</v>
      </c>
      <c r="AW18" s="203">
        <v>12</v>
      </c>
      <c r="AX18" s="203">
        <v>0</v>
      </c>
      <c r="AY18" s="203">
        <v>0</v>
      </c>
      <c r="AZ18" s="203">
        <v>4</v>
      </c>
      <c r="BA18" s="203">
        <v>3</v>
      </c>
      <c r="BB18" s="204">
        <v>0</v>
      </c>
      <c r="BC18" s="76">
        <v>33</v>
      </c>
    </row>
    <row r="19" spans="1:55" ht="20.100000000000001" customHeight="1" x14ac:dyDescent="0.4">
      <c r="A19" s="188">
        <v>19</v>
      </c>
      <c r="B19" s="189" t="s">
        <v>65</v>
      </c>
      <c r="C19" s="189" t="s">
        <v>66</v>
      </c>
      <c r="D19" s="190" t="s">
        <v>64</v>
      </c>
      <c r="E19" s="13"/>
      <c r="F19" s="4"/>
      <c r="G19" s="4" t="s">
        <v>337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 t="s">
        <v>337</v>
      </c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337</v>
      </c>
      <c r="AJ19" s="170"/>
      <c r="AK19" s="205">
        <v>0</v>
      </c>
      <c r="AL19" s="206">
        <v>0</v>
      </c>
      <c r="AM19" s="206">
        <v>0</v>
      </c>
      <c r="AN19" s="206">
        <v>0</v>
      </c>
      <c r="AO19" s="206">
        <v>3</v>
      </c>
      <c r="AP19" s="206">
        <v>0</v>
      </c>
      <c r="AQ19" s="206">
        <v>0</v>
      </c>
      <c r="AR19" s="206">
        <v>0</v>
      </c>
      <c r="AS19" s="207">
        <v>0</v>
      </c>
      <c r="AT19" s="205">
        <v>24</v>
      </c>
      <c r="AU19" s="206">
        <v>5</v>
      </c>
      <c r="AV19" s="206">
        <v>2</v>
      </c>
      <c r="AW19" s="206">
        <v>12</v>
      </c>
      <c r="AX19" s="206">
        <v>27</v>
      </c>
      <c r="AY19" s="206">
        <v>0</v>
      </c>
      <c r="AZ19" s="206">
        <v>0</v>
      </c>
      <c r="BA19" s="206">
        <v>0</v>
      </c>
      <c r="BB19" s="207">
        <v>0</v>
      </c>
      <c r="BC19" s="172">
        <v>34</v>
      </c>
    </row>
    <row r="20" spans="1:55" ht="20.100000000000001" customHeight="1" x14ac:dyDescent="0.4">
      <c r="A20" s="191">
        <v>28</v>
      </c>
      <c r="B20" s="192" t="s">
        <v>67</v>
      </c>
      <c r="C20" s="192" t="s">
        <v>7</v>
      </c>
      <c r="D20" s="193" t="s">
        <v>64</v>
      </c>
      <c r="E20" s="177" t="s">
        <v>338</v>
      </c>
      <c r="F20" s="178" t="s">
        <v>338</v>
      </c>
      <c r="G20" s="178" t="s">
        <v>125</v>
      </c>
      <c r="H20" s="178" t="s">
        <v>125</v>
      </c>
      <c r="I20" s="178"/>
      <c r="J20" s="178"/>
      <c r="K20" s="178"/>
      <c r="L20" s="178"/>
      <c r="M20" s="178"/>
      <c r="N20" s="178"/>
      <c r="O20" s="178"/>
      <c r="P20" s="178"/>
      <c r="Q20" s="178" t="s">
        <v>32</v>
      </c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H20" s="178"/>
      <c r="AI20" s="178"/>
      <c r="AJ20" s="179"/>
      <c r="AK20" s="208">
        <v>0</v>
      </c>
      <c r="AL20" s="209">
        <v>0</v>
      </c>
      <c r="AM20" s="209">
        <v>0</v>
      </c>
      <c r="AN20" s="209">
        <v>0</v>
      </c>
      <c r="AO20" s="209">
        <v>0</v>
      </c>
      <c r="AP20" s="209">
        <v>1</v>
      </c>
      <c r="AQ20" s="209">
        <v>0</v>
      </c>
      <c r="AR20" s="209">
        <v>0</v>
      </c>
      <c r="AS20" s="210">
        <v>0</v>
      </c>
      <c r="AT20" s="208">
        <v>23</v>
      </c>
      <c r="AU20" s="209">
        <v>5</v>
      </c>
      <c r="AV20" s="209">
        <v>0</v>
      </c>
      <c r="AW20" s="209">
        <v>12</v>
      </c>
      <c r="AX20" s="209">
        <v>0</v>
      </c>
      <c r="AY20" s="209">
        <v>3</v>
      </c>
      <c r="AZ20" s="209">
        <v>11</v>
      </c>
      <c r="BA20" s="209">
        <v>1</v>
      </c>
      <c r="BB20" s="210">
        <v>0</v>
      </c>
      <c r="BC20" s="180">
        <v>35</v>
      </c>
    </row>
    <row r="21" spans="1:55" ht="20.100000000000001" customHeight="1" x14ac:dyDescent="0.4">
      <c r="A21" s="194">
        <v>29</v>
      </c>
      <c r="B21" s="195" t="s">
        <v>68</v>
      </c>
      <c r="C21" s="195" t="s">
        <v>69</v>
      </c>
      <c r="D21" s="196" t="s">
        <v>64</v>
      </c>
      <c r="E21" s="1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 t="s">
        <v>102</v>
      </c>
      <c r="AJ21" s="168"/>
      <c r="AK21" s="199">
        <v>0</v>
      </c>
      <c r="AL21" s="200">
        <v>0</v>
      </c>
      <c r="AM21" s="200">
        <v>0</v>
      </c>
      <c r="AN21" s="200">
        <v>0</v>
      </c>
      <c r="AO21" s="200">
        <v>0</v>
      </c>
      <c r="AP21" s="200">
        <v>0</v>
      </c>
      <c r="AQ21" s="200">
        <v>0</v>
      </c>
      <c r="AR21" s="200">
        <v>0</v>
      </c>
      <c r="AS21" s="201">
        <v>0</v>
      </c>
      <c r="AT21" s="199">
        <v>23</v>
      </c>
      <c r="AU21" s="200">
        <v>5</v>
      </c>
      <c r="AV21" s="200">
        <v>0</v>
      </c>
      <c r="AW21" s="200">
        <v>12</v>
      </c>
      <c r="AX21" s="200">
        <v>0</v>
      </c>
      <c r="AY21" s="200">
        <v>0</v>
      </c>
      <c r="AZ21" s="200">
        <v>0</v>
      </c>
      <c r="BA21" s="200">
        <v>6</v>
      </c>
      <c r="BB21" s="201">
        <v>0</v>
      </c>
      <c r="BC21" s="171">
        <v>35</v>
      </c>
    </row>
    <row r="22" spans="1:55" ht="20.100000000000001" customHeight="1" x14ac:dyDescent="0.4">
      <c r="A22" s="185">
        <v>47</v>
      </c>
      <c r="B22" s="186" t="s">
        <v>70</v>
      </c>
      <c r="C22" s="186" t="s">
        <v>71</v>
      </c>
      <c r="D22" s="187" t="s">
        <v>64</v>
      </c>
      <c r="E22" s="9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169"/>
      <c r="AK22" s="202">
        <v>0</v>
      </c>
      <c r="AL22" s="203">
        <v>0</v>
      </c>
      <c r="AM22" s="203">
        <v>0</v>
      </c>
      <c r="AN22" s="203">
        <v>0</v>
      </c>
      <c r="AO22" s="203">
        <v>0</v>
      </c>
      <c r="AP22" s="203">
        <v>0</v>
      </c>
      <c r="AQ22" s="203">
        <v>0</v>
      </c>
      <c r="AR22" s="203">
        <v>0</v>
      </c>
      <c r="AS22" s="204">
        <v>0</v>
      </c>
      <c r="AT22" s="202">
        <v>23</v>
      </c>
      <c r="AU22" s="203">
        <v>3</v>
      </c>
      <c r="AV22" s="203">
        <v>2</v>
      </c>
      <c r="AW22" s="203">
        <v>12</v>
      </c>
      <c r="AX22" s="203">
        <v>0</v>
      </c>
      <c r="AY22" s="203">
        <v>0</v>
      </c>
      <c r="AZ22" s="203">
        <v>2</v>
      </c>
      <c r="BA22" s="203">
        <v>3</v>
      </c>
      <c r="BB22" s="204">
        <v>0</v>
      </c>
      <c r="BC22" s="76">
        <v>36</v>
      </c>
    </row>
    <row r="23" spans="1:55" ht="20.100000000000001" customHeight="1" x14ac:dyDescent="0.4">
      <c r="A23" s="185">
        <v>74</v>
      </c>
      <c r="B23" s="186" t="s">
        <v>72</v>
      </c>
      <c r="C23" s="186" t="s">
        <v>73</v>
      </c>
      <c r="D23" s="187" t="s">
        <v>64</v>
      </c>
      <c r="E23" s="9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169"/>
      <c r="AK23" s="202">
        <v>0</v>
      </c>
      <c r="AL23" s="203">
        <v>0</v>
      </c>
      <c r="AM23" s="203">
        <v>0</v>
      </c>
      <c r="AN23" s="203">
        <v>0</v>
      </c>
      <c r="AO23" s="203">
        <v>0</v>
      </c>
      <c r="AP23" s="203">
        <v>0</v>
      </c>
      <c r="AQ23" s="203">
        <v>0</v>
      </c>
      <c r="AR23" s="203">
        <v>0</v>
      </c>
      <c r="AS23" s="204">
        <v>0</v>
      </c>
      <c r="AT23" s="202">
        <v>23</v>
      </c>
      <c r="AU23" s="203">
        <v>4</v>
      </c>
      <c r="AV23" s="203">
        <v>0</v>
      </c>
      <c r="AW23" s="203">
        <v>11</v>
      </c>
      <c r="AX23" s="203">
        <v>1</v>
      </c>
      <c r="AY23" s="203">
        <v>0</v>
      </c>
      <c r="AZ23" s="203">
        <v>8</v>
      </c>
      <c r="BA23" s="203">
        <v>0</v>
      </c>
      <c r="BB23" s="204">
        <v>0</v>
      </c>
      <c r="BC23" s="76">
        <v>21</v>
      </c>
    </row>
    <row r="24" spans="1:55" ht="20.100000000000001" customHeight="1" x14ac:dyDescent="0.4">
      <c r="A24" s="188">
        <v>85</v>
      </c>
      <c r="B24" s="189" t="s">
        <v>74</v>
      </c>
      <c r="C24" s="189" t="s">
        <v>75</v>
      </c>
      <c r="D24" s="190" t="s">
        <v>64</v>
      </c>
      <c r="E24" s="13"/>
      <c r="F24" s="4"/>
      <c r="G24" s="4"/>
      <c r="H24" s="4"/>
      <c r="I24" s="4"/>
      <c r="J24" s="4"/>
      <c r="K24" s="4"/>
      <c r="L24" s="4"/>
      <c r="M24" s="4"/>
      <c r="N24" s="4"/>
      <c r="O24" s="4"/>
      <c r="P24" s="4" t="s">
        <v>338</v>
      </c>
      <c r="Q24" s="4" t="s">
        <v>338</v>
      </c>
      <c r="R24" s="4" t="s">
        <v>338</v>
      </c>
      <c r="S24" s="4"/>
      <c r="T24" s="4"/>
      <c r="U24" s="4"/>
      <c r="V24" s="4"/>
      <c r="W24" s="4"/>
      <c r="X24" s="4"/>
      <c r="Y24" s="4"/>
      <c r="Z24" s="4"/>
      <c r="AA24" s="4"/>
      <c r="AB24" s="4" t="s">
        <v>32</v>
      </c>
      <c r="AC24" s="4" t="s">
        <v>32</v>
      </c>
      <c r="AD24" s="4" t="s">
        <v>336</v>
      </c>
      <c r="AE24" s="4" t="s">
        <v>336</v>
      </c>
      <c r="AF24" s="4"/>
      <c r="AG24" s="4"/>
      <c r="AH24" s="4"/>
      <c r="AI24" s="4"/>
      <c r="AJ24" s="170"/>
      <c r="AK24" s="205">
        <v>0</v>
      </c>
      <c r="AL24" s="206">
        <v>0</v>
      </c>
      <c r="AM24" s="206">
        <v>0</v>
      </c>
      <c r="AN24" s="206">
        <v>2</v>
      </c>
      <c r="AO24" s="206">
        <v>0</v>
      </c>
      <c r="AP24" s="206">
        <v>3</v>
      </c>
      <c r="AQ24" s="206">
        <v>0</v>
      </c>
      <c r="AR24" s="206">
        <v>0</v>
      </c>
      <c r="AS24" s="207">
        <v>0</v>
      </c>
      <c r="AT24" s="205">
        <v>23</v>
      </c>
      <c r="AU24" s="206">
        <v>5</v>
      </c>
      <c r="AV24" s="206">
        <v>0</v>
      </c>
      <c r="AW24" s="206">
        <v>12</v>
      </c>
      <c r="AX24" s="206">
        <v>0</v>
      </c>
      <c r="AY24" s="206">
        <v>3</v>
      </c>
      <c r="AZ24" s="206">
        <v>7</v>
      </c>
      <c r="BA24" s="206">
        <v>1</v>
      </c>
      <c r="BB24" s="207">
        <v>0</v>
      </c>
      <c r="BC24" s="172">
        <v>18</v>
      </c>
    </row>
    <row r="25" spans="1:55" ht="20.100000000000001" customHeight="1" x14ac:dyDescent="0.4">
      <c r="A25" s="191">
        <v>82</v>
      </c>
      <c r="B25" s="192" t="s">
        <v>76</v>
      </c>
      <c r="C25" s="192" t="s">
        <v>77</v>
      </c>
      <c r="D25" s="193" t="s">
        <v>64</v>
      </c>
      <c r="E25" s="177" t="s">
        <v>125</v>
      </c>
      <c r="F25" s="178"/>
      <c r="G25" s="178"/>
      <c r="H25" s="178"/>
      <c r="I25" s="178"/>
      <c r="J25" s="178"/>
      <c r="K25" s="178"/>
      <c r="L25" s="178"/>
      <c r="M25" s="178"/>
      <c r="N25" s="178"/>
      <c r="O25" s="178"/>
      <c r="P25" s="178" t="s">
        <v>338</v>
      </c>
      <c r="Q25" s="178" t="s">
        <v>338</v>
      </c>
      <c r="R25" s="178" t="s">
        <v>338</v>
      </c>
      <c r="S25" s="178"/>
      <c r="T25" s="178"/>
      <c r="U25" s="178"/>
      <c r="V25" s="178"/>
      <c r="W25" s="178"/>
      <c r="X25" s="178"/>
      <c r="Y25" s="178"/>
      <c r="Z25" s="178"/>
      <c r="AA25" s="178"/>
      <c r="AB25" s="178"/>
      <c r="AC25" s="178"/>
      <c r="AD25" s="178"/>
      <c r="AE25" s="178"/>
      <c r="AF25" s="178"/>
      <c r="AG25" s="178"/>
      <c r="AH25" s="178"/>
      <c r="AI25" s="178"/>
      <c r="AJ25" s="179"/>
      <c r="AK25" s="208">
        <v>0</v>
      </c>
      <c r="AL25" s="209">
        <v>0</v>
      </c>
      <c r="AM25" s="209">
        <v>0</v>
      </c>
      <c r="AN25" s="209">
        <v>0</v>
      </c>
      <c r="AO25" s="209">
        <v>0</v>
      </c>
      <c r="AP25" s="209">
        <v>3</v>
      </c>
      <c r="AQ25" s="209">
        <v>0</v>
      </c>
      <c r="AR25" s="209">
        <v>0</v>
      </c>
      <c r="AS25" s="210">
        <v>0</v>
      </c>
      <c r="AT25" s="208">
        <v>23</v>
      </c>
      <c r="AU25" s="209">
        <v>5</v>
      </c>
      <c r="AV25" s="209">
        <v>0</v>
      </c>
      <c r="AW25" s="209">
        <v>12</v>
      </c>
      <c r="AX25" s="209">
        <v>0</v>
      </c>
      <c r="AY25" s="209">
        <v>3</v>
      </c>
      <c r="AZ25" s="209">
        <v>9</v>
      </c>
      <c r="BA25" s="209">
        <v>0</v>
      </c>
      <c r="BB25" s="210">
        <v>0</v>
      </c>
      <c r="BC25" s="180">
        <v>18</v>
      </c>
    </row>
    <row r="26" spans="1:55" ht="20.100000000000001" customHeight="1" x14ac:dyDescent="0.4">
      <c r="A26" s="194">
        <v>94</v>
      </c>
      <c r="B26" s="195" t="s">
        <v>78</v>
      </c>
      <c r="C26" s="195" t="s">
        <v>79</v>
      </c>
      <c r="D26" s="196" t="s">
        <v>64</v>
      </c>
      <c r="E26" s="12" t="s">
        <v>338</v>
      </c>
      <c r="F26" s="2" t="s">
        <v>338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 t="s">
        <v>125</v>
      </c>
      <c r="Z26" s="2" t="s">
        <v>125</v>
      </c>
      <c r="AA26" s="2" t="s">
        <v>125</v>
      </c>
      <c r="AB26" s="2"/>
      <c r="AC26" s="2"/>
      <c r="AD26" s="2"/>
      <c r="AE26" s="2"/>
      <c r="AF26" s="2"/>
      <c r="AG26" s="2"/>
      <c r="AH26" s="2"/>
      <c r="AI26" s="2"/>
      <c r="AJ26" s="168"/>
      <c r="AK26" s="199">
        <v>0</v>
      </c>
      <c r="AL26" s="200">
        <v>0</v>
      </c>
      <c r="AM26" s="200">
        <v>0</v>
      </c>
      <c r="AN26" s="200">
        <v>0</v>
      </c>
      <c r="AO26" s="200">
        <v>0</v>
      </c>
      <c r="AP26" s="200">
        <v>1</v>
      </c>
      <c r="AQ26" s="200">
        <v>0</v>
      </c>
      <c r="AR26" s="200">
        <v>0</v>
      </c>
      <c r="AS26" s="201">
        <v>0</v>
      </c>
      <c r="AT26" s="199">
        <v>23</v>
      </c>
      <c r="AU26" s="200">
        <v>4</v>
      </c>
      <c r="AV26" s="200">
        <v>0</v>
      </c>
      <c r="AW26" s="200">
        <v>10</v>
      </c>
      <c r="AX26" s="200">
        <v>0</v>
      </c>
      <c r="AY26" s="200">
        <v>6</v>
      </c>
      <c r="AZ26" s="200">
        <v>7</v>
      </c>
      <c r="BA26" s="200">
        <v>0</v>
      </c>
      <c r="BB26" s="201">
        <v>0</v>
      </c>
      <c r="BC26" s="171">
        <v>6</v>
      </c>
    </row>
    <row r="27" spans="1:55" ht="20.100000000000001" customHeight="1" x14ac:dyDescent="0.4">
      <c r="A27" s="185">
        <v>79</v>
      </c>
      <c r="B27" s="186" t="s">
        <v>80</v>
      </c>
      <c r="C27" s="186" t="s">
        <v>81</v>
      </c>
      <c r="D27" s="187" t="s">
        <v>19</v>
      </c>
      <c r="E27" s="9"/>
      <c r="F27" s="3"/>
      <c r="G27" s="3"/>
      <c r="H27" s="3" t="s">
        <v>32</v>
      </c>
      <c r="I27" s="3" t="s">
        <v>336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169"/>
      <c r="AK27" s="202">
        <v>0</v>
      </c>
      <c r="AL27" s="203">
        <v>0</v>
      </c>
      <c r="AM27" s="203">
        <v>0</v>
      </c>
      <c r="AN27" s="203">
        <v>1</v>
      </c>
      <c r="AO27" s="203">
        <v>0</v>
      </c>
      <c r="AP27" s="203">
        <v>0</v>
      </c>
      <c r="AQ27" s="203">
        <v>0</v>
      </c>
      <c r="AR27" s="203">
        <v>0</v>
      </c>
      <c r="AS27" s="204">
        <v>0</v>
      </c>
      <c r="AT27" s="202">
        <v>23</v>
      </c>
      <c r="AU27" s="203">
        <v>8</v>
      </c>
      <c r="AV27" s="203">
        <v>0</v>
      </c>
      <c r="AW27" s="203">
        <v>12</v>
      </c>
      <c r="AX27" s="203">
        <v>0</v>
      </c>
      <c r="AY27" s="203">
        <v>0</v>
      </c>
      <c r="AZ27" s="203">
        <v>0</v>
      </c>
      <c r="BA27" s="203">
        <v>6</v>
      </c>
      <c r="BB27" s="204">
        <v>0</v>
      </c>
      <c r="BC27" s="76">
        <v>32</v>
      </c>
    </row>
    <row r="28" spans="1:55" ht="20.100000000000001" customHeight="1" x14ac:dyDescent="0.4">
      <c r="A28" s="185">
        <v>98</v>
      </c>
      <c r="B28" s="186" t="s">
        <v>82</v>
      </c>
      <c r="C28" s="186" t="s">
        <v>83</v>
      </c>
      <c r="D28" s="187" t="s">
        <v>19</v>
      </c>
      <c r="E28" s="9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 t="s">
        <v>32</v>
      </c>
      <c r="AC28" s="3" t="s">
        <v>32</v>
      </c>
      <c r="AD28" s="3" t="s">
        <v>336</v>
      </c>
      <c r="AE28" s="3" t="s">
        <v>336</v>
      </c>
      <c r="AF28" s="3"/>
      <c r="AG28" s="3"/>
      <c r="AH28" s="3"/>
      <c r="AI28" s="3"/>
      <c r="AJ28" s="169"/>
      <c r="AK28" s="202">
        <v>0</v>
      </c>
      <c r="AL28" s="203">
        <v>0</v>
      </c>
      <c r="AM28" s="203">
        <v>0</v>
      </c>
      <c r="AN28" s="203">
        <v>2</v>
      </c>
      <c r="AO28" s="203">
        <v>0</v>
      </c>
      <c r="AP28" s="203">
        <v>0</v>
      </c>
      <c r="AQ28" s="203">
        <v>0</v>
      </c>
      <c r="AR28" s="203">
        <v>0</v>
      </c>
      <c r="AS28" s="204">
        <v>0</v>
      </c>
      <c r="AT28" s="202">
        <v>23</v>
      </c>
      <c r="AU28" s="203">
        <v>5</v>
      </c>
      <c r="AV28" s="203">
        <v>0</v>
      </c>
      <c r="AW28" s="203">
        <v>12</v>
      </c>
      <c r="AX28" s="203">
        <v>0</v>
      </c>
      <c r="AY28" s="203">
        <v>0</v>
      </c>
      <c r="AZ28" s="203">
        <v>0</v>
      </c>
      <c r="BA28" s="203">
        <v>4</v>
      </c>
      <c r="BB28" s="204">
        <v>0</v>
      </c>
      <c r="BC28" s="76">
        <v>35</v>
      </c>
    </row>
    <row r="29" spans="1:55" ht="20.100000000000001" customHeight="1" x14ac:dyDescent="0.4">
      <c r="A29" s="188">
        <v>95</v>
      </c>
      <c r="B29" s="189" t="s">
        <v>84</v>
      </c>
      <c r="C29" s="189" t="s">
        <v>85</v>
      </c>
      <c r="D29" s="190" t="s">
        <v>19</v>
      </c>
      <c r="E29" s="13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170"/>
      <c r="AK29" s="205">
        <v>0</v>
      </c>
      <c r="AL29" s="206">
        <v>0</v>
      </c>
      <c r="AM29" s="206">
        <v>0</v>
      </c>
      <c r="AN29" s="206">
        <v>0</v>
      </c>
      <c r="AO29" s="206">
        <v>0</v>
      </c>
      <c r="AP29" s="206">
        <v>0</v>
      </c>
      <c r="AQ29" s="206">
        <v>0</v>
      </c>
      <c r="AR29" s="206">
        <v>0</v>
      </c>
      <c r="AS29" s="207">
        <v>0</v>
      </c>
      <c r="AT29" s="205">
        <v>23</v>
      </c>
      <c r="AU29" s="206">
        <v>3</v>
      </c>
      <c r="AV29" s="206">
        <v>0</v>
      </c>
      <c r="AW29" s="206">
        <v>6</v>
      </c>
      <c r="AX29" s="206">
        <v>0</v>
      </c>
      <c r="AY29" s="206">
        <v>0</v>
      </c>
      <c r="AZ29" s="206">
        <v>0</v>
      </c>
      <c r="BA29" s="206">
        <v>3</v>
      </c>
      <c r="BB29" s="207">
        <v>0</v>
      </c>
      <c r="BC29" s="172">
        <v>37</v>
      </c>
    </row>
    <row r="30" spans="1:55" ht="20.100000000000001" customHeight="1" x14ac:dyDescent="0.4">
      <c r="A30" s="191">
        <v>30</v>
      </c>
      <c r="B30" s="192" t="s">
        <v>86</v>
      </c>
      <c r="C30" s="192" t="s">
        <v>87</v>
      </c>
      <c r="D30" s="193" t="s">
        <v>19</v>
      </c>
      <c r="E30" s="177"/>
      <c r="F30" s="178" t="s">
        <v>125</v>
      </c>
      <c r="G30" s="178" t="s">
        <v>125</v>
      </c>
      <c r="H30" s="178" t="s">
        <v>32</v>
      </c>
      <c r="I30" s="178" t="s">
        <v>336</v>
      </c>
      <c r="J30" s="178" t="s">
        <v>336</v>
      </c>
      <c r="K30" s="178" t="s">
        <v>336</v>
      </c>
      <c r="L30" s="178" t="s">
        <v>336</v>
      </c>
      <c r="M30" s="178" t="s">
        <v>336</v>
      </c>
      <c r="N30" s="178" t="s">
        <v>32</v>
      </c>
      <c r="O30" s="178" t="s">
        <v>32</v>
      </c>
      <c r="P30" s="178" t="s">
        <v>336</v>
      </c>
      <c r="Q30" s="178"/>
      <c r="R30" s="178"/>
      <c r="S30" s="178"/>
      <c r="T30" s="178"/>
      <c r="U30" s="178" t="s">
        <v>102</v>
      </c>
      <c r="V30" s="178"/>
      <c r="W30" s="178"/>
      <c r="X30" s="178"/>
      <c r="Y30" s="178"/>
      <c r="Z30" s="178"/>
      <c r="AA30" s="178"/>
      <c r="AB30" s="178"/>
      <c r="AC30" s="178"/>
      <c r="AD30" s="178"/>
      <c r="AE30" s="178"/>
      <c r="AF30" s="178"/>
      <c r="AG30" s="178"/>
      <c r="AH30" s="178"/>
      <c r="AI30" s="178"/>
      <c r="AJ30" s="179"/>
      <c r="AK30" s="208">
        <v>0</v>
      </c>
      <c r="AL30" s="209">
        <v>0</v>
      </c>
      <c r="AM30" s="209">
        <v>0</v>
      </c>
      <c r="AN30" s="209">
        <v>6</v>
      </c>
      <c r="AO30" s="209">
        <v>0</v>
      </c>
      <c r="AP30" s="209">
        <v>0</v>
      </c>
      <c r="AQ30" s="209">
        <v>0</v>
      </c>
      <c r="AR30" s="209">
        <v>0</v>
      </c>
      <c r="AS30" s="210">
        <v>0</v>
      </c>
      <c r="AT30" s="208">
        <v>23</v>
      </c>
      <c r="AU30" s="209">
        <v>3</v>
      </c>
      <c r="AV30" s="209">
        <v>0</v>
      </c>
      <c r="AW30" s="209">
        <v>12</v>
      </c>
      <c r="AX30" s="209">
        <v>0</v>
      </c>
      <c r="AY30" s="209">
        <v>0</v>
      </c>
      <c r="AZ30" s="209">
        <v>9</v>
      </c>
      <c r="BA30" s="209">
        <v>2</v>
      </c>
      <c r="BB30" s="210">
        <v>0</v>
      </c>
      <c r="BC30" s="180">
        <v>37</v>
      </c>
    </row>
    <row r="31" spans="1:55" ht="20.100000000000001" customHeight="1" x14ac:dyDescent="0.4">
      <c r="A31" s="194">
        <v>72</v>
      </c>
      <c r="B31" s="195" t="s">
        <v>88</v>
      </c>
      <c r="C31" s="195" t="s">
        <v>89</v>
      </c>
      <c r="D31" s="196" t="s">
        <v>19</v>
      </c>
      <c r="E31" s="1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 t="s">
        <v>32</v>
      </c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 t="s">
        <v>336</v>
      </c>
      <c r="AJ31" s="168"/>
      <c r="AK31" s="199">
        <v>0</v>
      </c>
      <c r="AL31" s="200">
        <v>0</v>
      </c>
      <c r="AM31" s="200">
        <v>0</v>
      </c>
      <c r="AN31" s="200">
        <v>1</v>
      </c>
      <c r="AO31" s="200">
        <v>0</v>
      </c>
      <c r="AP31" s="200">
        <v>0</v>
      </c>
      <c r="AQ31" s="200">
        <v>0</v>
      </c>
      <c r="AR31" s="200">
        <v>0</v>
      </c>
      <c r="AS31" s="201">
        <v>0</v>
      </c>
      <c r="AT31" s="199">
        <v>25</v>
      </c>
      <c r="AU31" s="200">
        <v>5</v>
      </c>
      <c r="AV31" s="200">
        <v>1</v>
      </c>
      <c r="AW31" s="200">
        <v>11</v>
      </c>
      <c r="AX31" s="200">
        <v>0</v>
      </c>
      <c r="AY31" s="200">
        <v>4</v>
      </c>
      <c r="AZ31" s="200">
        <v>9</v>
      </c>
      <c r="BA31" s="200">
        <v>0</v>
      </c>
      <c r="BB31" s="201">
        <v>0</v>
      </c>
      <c r="BC31" s="171">
        <v>34.5</v>
      </c>
    </row>
    <row r="32" spans="1:55" ht="20.100000000000001" customHeight="1" x14ac:dyDescent="0.4">
      <c r="A32" s="185">
        <v>35</v>
      </c>
      <c r="B32" s="186" t="s">
        <v>90</v>
      </c>
      <c r="C32" s="186" t="s">
        <v>91</v>
      </c>
      <c r="D32" s="187" t="s">
        <v>19</v>
      </c>
      <c r="E32" s="9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169"/>
      <c r="AK32" s="202">
        <v>0</v>
      </c>
      <c r="AL32" s="203">
        <v>0</v>
      </c>
      <c r="AM32" s="203">
        <v>0</v>
      </c>
      <c r="AN32" s="203">
        <v>0</v>
      </c>
      <c r="AO32" s="203">
        <v>0</v>
      </c>
      <c r="AP32" s="203">
        <v>0</v>
      </c>
      <c r="AQ32" s="203">
        <v>0</v>
      </c>
      <c r="AR32" s="203">
        <v>0</v>
      </c>
      <c r="AS32" s="204">
        <v>0</v>
      </c>
      <c r="AT32" s="202">
        <v>23</v>
      </c>
      <c r="AU32" s="203">
        <v>11</v>
      </c>
      <c r="AV32" s="203">
        <v>0</v>
      </c>
      <c r="AW32" s="203">
        <v>12</v>
      </c>
      <c r="AX32" s="203">
        <v>0</v>
      </c>
      <c r="AY32" s="203">
        <v>1</v>
      </c>
      <c r="AZ32" s="203">
        <v>9</v>
      </c>
      <c r="BA32" s="203">
        <v>1</v>
      </c>
      <c r="BB32" s="204">
        <v>0</v>
      </c>
      <c r="BC32" s="76">
        <v>29</v>
      </c>
    </row>
    <row r="33" spans="1:55" ht="20.100000000000001" customHeight="1" x14ac:dyDescent="0.4">
      <c r="A33" s="185">
        <v>58</v>
      </c>
      <c r="B33" s="186" t="s">
        <v>92</v>
      </c>
      <c r="C33" s="186" t="s">
        <v>93</v>
      </c>
      <c r="D33" s="187" t="s">
        <v>19</v>
      </c>
      <c r="E33" s="9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 t="s">
        <v>32</v>
      </c>
      <c r="AI33" s="3" t="s">
        <v>32</v>
      </c>
      <c r="AJ33" s="169" t="s">
        <v>32</v>
      </c>
      <c r="AK33" s="202">
        <v>0</v>
      </c>
      <c r="AL33" s="203">
        <v>0</v>
      </c>
      <c r="AM33" s="203">
        <v>0</v>
      </c>
      <c r="AN33" s="203">
        <v>0</v>
      </c>
      <c r="AO33" s="203">
        <v>0</v>
      </c>
      <c r="AP33" s="203">
        <v>0</v>
      </c>
      <c r="AQ33" s="203">
        <v>0</v>
      </c>
      <c r="AR33" s="203">
        <v>0</v>
      </c>
      <c r="AS33" s="204">
        <v>0</v>
      </c>
      <c r="AT33" s="202">
        <v>23</v>
      </c>
      <c r="AU33" s="203">
        <v>5</v>
      </c>
      <c r="AV33" s="203">
        <v>2</v>
      </c>
      <c r="AW33" s="203">
        <v>10</v>
      </c>
      <c r="AX33" s="203">
        <v>0</v>
      </c>
      <c r="AY33" s="203">
        <v>1</v>
      </c>
      <c r="AZ33" s="203">
        <v>4</v>
      </c>
      <c r="BA33" s="203">
        <v>2</v>
      </c>
      <c r="BB33" s="204">
        <v>0</v>
      </c>
      <c r="BC33" s="76">
        <v>29</v>
      </c>
    </row>
    <row r="34" spans="1:55" ht="20.100000000000001" customHeight="1" x14ac:dyDescent="0.4">
      <c r="A34" s="188">
        <v>91</v>
      </c>
      <c r="B34" s="189" t="s">
        <v>94</v>
      </c>
      <c r="C34" s="189" t="s">
        <v>95</v>
      </c>
      <c r="D34" s="190" t="s">
        <v>19</v>
      </c>
      <c r="E34" s="13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 t="s">
        <v>102</v>
      </c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170"/>
      <c r="AK34" s="205">
        <v>0</v>
      </c>
      <c r="AL34" s="206">
        <v>0</v>
      </c>
      <c r="AM34" s="206">
        <v>0</v>
      </c>
      <c r="AN34" s="206">
        <v>0</v>
      </c>
      <c r="AO34" s="206">
        <v>0</v>
      </c>
      <c r="AP34" s="206">
        <v>0</v>
      </c>
      <c r="AQ34" s="206">
        <v>0</v>
      </c>
      <c r="AR34" s="206">
        <v>0</v>
      </c>
      <c r="AS34" s="207">
        <v>0</v>
      </c>
      <c r="AT34" s="205">
        <v>23</v>
      </c>
      <c r="AU34" s="206">
        <v>5</v>
      </c>
      <c r="AV34" s="206">
        <v>0</v>
      </c>
      <c r="AW34" s="206">
        <v>12</v>
      </c>
      <c r="AX34" s="206">
        <v>0</v>
      </c>
      <c r="AY34" s="206">
        <v>1</v>
      </c>
      <c r="AZ34" s="206">
        <v>8</v>
      </c>
      <c r="BA34" s="206">
        <v>0</v>
      </c>
      <c r="BB34" s="207">
        <v>0</v>
      </c>
      <c r="BC34" s="172">
        <v>30</v>
      </c>
    </row>
    <row r="35" spans="1:55" ht="20.100000000000001" customHeight="1" x14ac:dyDescent="0.4">
      <c r="A35" s="191">
        <v>78</v>
      </c>
      <c r="B35" s="192" t="s">
        <v>96</v>
      </c>
      <c r="C35" s="192" t="s">
        <v>97</v>
      </c>
      <c r="D35" s="193" t="s">
        <v>19</v>
      </c>
      <c r="E35" s="177"/>
      <c r="F35" s="178"/>
      <c r="G35" s="178" t="s">
        <v>102</v>
      </c>
      <c r="H35" s="178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78"/>
      <c r="AI35" s="178"/>
      <c r="AJ35" s="179"/>
      <c r="AK35" s="208">
        <v>0</v>
      </c>
      <c r="AL35" s="209">
        <v>0</v>
      </c>
      <c r="AM35" s="209">
        <v>0</v>
      </c>
      <c r="AN35" s="209">
        <v>0</v>
      </c>
      <c r="AO35" s="209">
        <v>0</v>
      </c>
      <c r="AP35" s="209">
        <v>0</v>
      </c>
      <c r="AQ35" s="209">
        <v>0</v>
      </c>
      <c r="AR35" s="209">
        <v>0</v>
      </c>
      <c r="AS35" s="210">
        <v>0</v>
      </c>
      <c r="AT35" s="208">
        <v>27</v>
      </c>
      <c r="AU35" s="209">
        <v>7</v>
      </c>
      <c r="AV35" s="209">
        <v>0</v>
      </c>
      <c r="AW35" s="209">
        <v>9</v>
      </c>
      <c r="AX35" s="209">
        <v>0</v>
      </c>
      <c r="AY35" s="209">
        <v>1</v>
      </c>
      <c r="AZ35" s="209">
        <v>9</v>
      </c>
      <c r="BA35" s="209">
        <v>1</v>
      </c>
      <c r="BB35" s="210">
        <v>0</v>
      </c>
      <c r="BC35" s="180">
        <v>18</v>
      </c>
    </row>
    <row r="36" spans="1:55" ht="20.100000000000001" customHeight="1" x14ac:dyDescent="0.4">
      <c r="A36" s="194">
        <v>87</v>
      </c>
      <c r="B36" s="195" t="s">
        <v>98</v>
      </c>
      <c r="C36" s="195" t="s">
        <v>99</v>
      </c>
      <c r="D36" s="196" t="s">
        <v>19</v>
      </c>
      <c r="E36" s="12"/>
      <c r="F36" s="2"/>
      <c r="G36" s="2"/>
      <c r="H36" s="2"/>
      <c r="I36" s="2"/>
      <c r="J36" s="2"/>
      <c r="K36" s="2"/>
      <c r="L36" s="2"/>
      <c r="M36" s="2"/>
      <c r="N36" s="2"/>
      <c r="O36" s="2"/>
      <c r="P36" s="2" t="s">
        <v>338</v>
      </c>
      <c r="Q36" s="2" t="s">
        <v>338</v>
      </c>
      <c r="R36" s="2" t="s">
        <v>338</v>
      </c>
      <c r="S36" s="2" t="s">
        <v>336</v>
      </c>
      <c r="T36" s="2" t="s">
        <v>336</v>
      </c>
      <c r="U36" s="2" t="s">
        <v>336</v>
      </c>
      <c r="V36" s="2" t="s">
        <v>32</v>
      </c>
      <c r="W36" s="2" t="s">
        <v>32</v>
      </c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168"/>
      <c r="AK36" s="199">
        <v>0</v>
      </c>
      <c r="AL36" s="200">
        <v>0</v>
      </c>
      <c r="AM36" s="200">
        <v>0</v>
      </c>
      <c r="AN36" s="200">
        <v>3</v>
      </c>
      <c r="AO36" s="200">
        <v>0</v>
      </c>
      <c r="AP36" s="200">
        <v>3</v>
      </c>
      <c r="AQ36" s="200">
        <v>0</v>
      </c>
      <c r="AR36" s="200">
        <v>0</v>
      </c>
      <c r="AS36" s="201">
        <v>0</v>
      </c>
      <c r="AT36" s="199">
        <v>23</v>
      </c>
      <c r="AU36" s="200">
        <v>4</v>
      </c>
      <c r="AV36" s="200">
        <v>0</v>
      </c>
      <c r="AW36" s="200">
        <v>12</v>
      </c>
      <c r="AX36" s="200">
        <v>0</v>
      </c>
      <c r="AY36" s="200">
        <v>3</v>
      </c>
      <c r="AZ36" s="200">
        <v>7</v>
      </c>
      <c r="BA36" s="200">
        <v>0</v>
      </c>
      <c r="BB36" s="201">
        <v>0</v>
      </c>
      <c r="BC36" s="171">
        <v>16</v>
      </c>
    </row>
    <row r="37" spans="1:55" ht="20.100000000000001" customHeight="1" x14ac:dyDescent="0.4">
      <c r="A37" s="185">
        <v>11</v>
      </c>
      <c r="B37" s="186" t="s">
        <v>100</v>
      </c>
      <c r="C37" s="186" t="s">
        <v>101</v>
      </c>
      <c r="D37" s="187" t="s">
        <v>102</v>
      </c>
      <c r="E37" s="9"/>
      <c r="F37" s="3"/>
      <c r="G37" s="3"/>
      <c r="H37" s="3"/>
      <c r="I37" s="3"/>
      <c r="J37" s="3"/>
      <c r="K37" s="3"/>
      <c r="L37" s="3"/>
      <c r="M37" s="3"/>
      <c r="N37" s="3"/>
      <c r="O37" s="3"/>
      <c r="P37" s="3" t="s">
        <v>336</v>
      </c>
      <c r="Q37" s="3" t="s">
        <v>336</v>
      </c>
      <c r="R37" s="3"/>
      <c r="S37" s="3"/>
      <c r="T37" s="3" t="s">
        <v>32</v>
      </c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169"/>
      <c r="AK37" s="202">
        <v>0</v>
      </c>
      <c r="AL37" s="203">
        <v>0</v>
      </c>
      <c r="AM37" s="203">
        <v>0</v>
      </c>
      <c r="AN37" s="203">
        <v>2</v>
      </c>
      <c r="AO37" s="203">
        <v>0</v>
      </c>
      <c r="AP37" s="203">
        <v>0</v>
      </c>
      <c r="AQ37" s="203">
        <v>0</v>
      </c>
      <c r="AR37" s="203">
        <v>0</v>
      </c>
      <c r="AS37" s="204">
        <v>0</v>
      </c>
      <c r="AT37" s="202">
        <v>23</v>
      </c>
      <c r="AU37" s="203">
        <v>4</v>
      </c>
      <c r="AV37" s="203">
        <v>1</v>
      </c>
      <c r="AW37" s="203">
        <v>11</v>
      </c>
      <c r="AX37" s="203">
        <v>0</v>
      </c>
      <c r="AY37" s="203">
        <v>0</v>
      </c>
      <c r="AZ37" s="203">
        <v>7</v>
      </c>
      <c r="BA37" s="203">
        <v>1</v>
      </c>
      <c r="BB37" s="204">
        <v>0</v>
      </c>
      <c r="BC37" s="76">
        <v>35.5</v>
      </c>
    </row>
    <row r="38" spans="1:55" ht="20.100000000000001" customHeight="1" x14ac:dyDescent="0.4">
      <c r="A38" s="185">
        <v>18</v>
      </c>
      <c r="B38" s="186" t="s">
        <v>103</v>
      </c>
      <c r="C38" s="186" t="s">
        <v>104</v>
      </c>
      <c r="D38" s="187" t="s">
        <v>102</v>
      </c>
      <c r="E38" s="9" t="s">
        <v>336</v>
      </c>
      <c r="F38" s="3" t="s">
        <v>336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169"/>
      <c r="AK38" s="202">
        <v>0</v>
      </c>
      <c r="AL38" s="203">
        <v>0</v>
      </c>
      <c r="AM38" s="203">
        <v>0</v>
      </c>
      <c r="AN38" s="203">
        <v>1</v>
      </c>
      <c r="AO38" s="203">
        <v>0</v>
      </c>
      <c r="AP38" s="203">
        <v>0</v>
      </c>
      <c r="AQ38" s="203">
        <v>0</v>
      </c>
      <c r="AR38" s="203">
        <v>0</v>
      </c>
      <c r="AS38" s="204">
        <v>0</v>
      </c>
      <c r="AT38" s="202">
        <v>23</v>
      </c>
      <c r="AU38" s="203">
        <v>7</v>
      </c>
      <c r="AV38" s="203">
        <v>1</v>
      </c>
      <c r="AW38" s="203">
        <v>12</v>
      </c>
      <c r="AX38" s="203">
        <v>0</v>
      </c>
      <c r="AY38" s="203">
        <v>0</v>
      </c>
      <c r="AZ38" s="203">
        <v>0</v>
      </c>
      <c r="BA38" s="203">
        <v>7</v>
      </c>
      <c r="BB38" s="204">
        <v>0</v>
      </c>
      <c r="BC38" s="76">
        <v>32.5</v>
      </c>
    </row>
    <row r="39" spans="1:55" ht="20.100000000000001" customHeight="1" x14ac:dyDescent="0.4">
      <c r="A39" s="188">
        <v>22</v>
      </c>
      <c r="B39" s="189" t="s">
        <v>105</v>
      </c>
      <c r="C39" s="189" t="s">
        <v>106</v>
      </c>
      <c r="D39" s="190" t="s">
        <v>102</v>
      </c>
      <c r="E39" s="13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170"/>
      <c r="AK39" s="205">
        <v>0</v>
      </c>
      <c r="AL39" s="206">
        <v>0</v>
      </c>
      <c r="AM39" s="206">
        <v>0</v>
      </c>
      <c r="AN39" s="206">
        <v>0</v>
      </c>
      <c r="AO39" s="206">
        <v>0</v>
      </c>
      <c r="AP39" s="206">
        <v>0</v>
      </c>
      <c r="AQ39" s="206">
        <v>0</v>
      </c>
      <c r="AR39" s="206">
        <v>0</v>
      </c>
      <c r="AS39" s="207">
        <v>0</v>
      </c>
      <c r="AT39" s="205">
        <v>23</v>
      </c>
      <c r="AU39" s="206">
        <v>3</v>
      </c>
      <c r="AV39" s="206">
        <v>0</v>
      </c>
      <c r="AW39" s="206">
        <v>12</v>
      </c>
      <c r="AX39" s="206">
        <v>0</v>
      </c>
      <c r="AY39" s="206">
        <v>0</v>
      </c>
      <c r="AZ39" s="206">
        <v>6</v>
      </c>
      <c r="BA39" s="206">
        <v>1</v>
      </c>
      <c r="BB39" s="207">
        <v>0</v>
      </c>
      <c r="BC39" s="172">
        <v>37</v>
      </c>
    </row>
    <row r="40" spans="1:55" ht="20.100000000000001" customHeight="1" x14ac:dyDescent="0.4">
      <c r="A40" s="191">
        <v>24</v>
      </c>
      <c r="B40" s="192" t="s">
        <v>107</v>
      </c>
      <c r="C40" s="192" t="s">
        <v>108</v>
      </c>
      <c r="D40" s="193" t="s">
        <v>102</v>
      </c>
      <c r="E40" s="177"/>
      <c r="F40" s="178"/>
      <c r="G40" s="178" t="s">
        <v>337</v>
      </c>
      <c r="H40" s="178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 t="s">
        <v>337</v>
      </c>
      <c r="V40" s="178"/>
      <c r="W40" s="178"/>
      <c r="X40" s="178"/>
      <c r="Y40" s="178"/>
      <c r="Z40" s="178"/>
      <c r="AA40" s="178"/>
      <c r="AB40" s="178"/>
      <c r="AC40" s="178"/>
      <c r="AD40" s="178"/>
      <c r="AE40" s="178"/>
      <c r="AF40" s="178"/>
      <c r="AG40" s="178"/>
      <c r="AH40" s="178"/>
      <c r="AI40" s="178" t="s">
        <v>337</v>
      </c>
      <c r="AJ40" s="179"/>
      <c r="AK40" s="208">
        <v>0</v>
      </c>
      <c r="AL40" s="209">
        <v>0</v>
      </c>
      <c r="AM40" s="209">
        <v>0</v>
      </c>
      <c r="AN40" s="209">
        <v>0</v>
      </c>
      <c r="AO40" s="209">
        <v>3</v>
      </c>
      <c r="AP40" s="209">
        <v>0</v>
      </c>
      <c r="AQ40" s="209">
        <v>0</v>
      </c>
      <c r="AR40" s="209">
        <v>0</v>
      </c>
      <c r="AS40" s="210">
        <v>0</v>
      </c>
      <c r="AT40" s="208">
        <v>23</v>
      </c>
      <c r="AU40" s="209">
        <v>4</v>
      </c>
      <c r="AV40" s="209">
        <v>2</v>
      </c>
      <c r="AW40" s="209">
        <v>12</v>
      </c>
      <c r="AX40" s="209">
        <v>27</v>
      </c>
      <c r="AY40" s="209">
        <v>0</v>
      </c>
      <c r="AZ40" s="209">
        <v>0</v>
      </c>
      <c r="BA40" s="209">
        <v>0</v>
      </c>
      <c r="BB40" s="210">
        <v>0</v>
      </c>
      <c r="BC40" s="180">
        <v>35</v>
      </c>
    </row>
    <row r="41" spans="1:55" ht="20.100000000000001" customHeight="1" x14ac:dyDescent="0.4">
      <c r="A41" s="194">
        <v>33</v>
      </c>
      <c r="B41" s="195" t="s">
        <v>109</v>
      </c>
      <c r="C41" s="195" t="s">
        <v>110</v>
      </c>
      <c r="D41" s="196" t="s">
        <v>102</v>
      </c>
      <c r="E41" s="12" t="s">
        <v>338</v>
      </c>
      <c r="F41" s="2" t="s">
        <v>338</v>
      </c>
      <c r="G41" s="2" t="s">
        <v>125</v>
      </c>
      <c r="H41" s="2" t="s">
        <v>125</v>
      </c>
      <c r="I41" s="2" t="s">
        <v>125</v>
      </c>
      <c r="J41" s="2" t="s">
        <v>125</v>
      </c>
      <c r="K41" s="2" t="s">
        <v>125</v>
      </c>
      <c r="L41" s="2" t="s">
        <v>125</v>
      </c>
      <c r="M41" s="2" t="s">
        <v>125</v>
      </c>
      <c r="N41" s="2" t="s">
        <v>125</v>
      </c>
      <c r="O41" s="2" t="s">
        <v>125</v>
      </c>
      <c r="P41" s="2" t="s">
        <v>125</v>
      </c>
      <c r="Q41" s="2" t="s">
        <v>125</v>
      </c>
      <c r="R41" s="2" t="s">
        <v>125</v>
      </c>
      <c r="S41" s="2" t="s">
        <v>125</v>
      </c>
      <c r="T41" s="2" t="s">
        <v>125</v>
      </c>
      <c r="U41" s="2" t="s">
        <v>125</v>
      </c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 t="s">
        <v>336</v>
      </c>
      <c r="AJ41" s="168"/>
      <c r="AK41" s="199">
        <v>0</v>
      </c>
      <c r="AL41" s="200">
        <v>0</v>
      </c>
      <c r="AM41" s="200">
        <v>0</v>
      </c>
      <c r="AN41" s="200">
        <v>1</v>
      </c>
      <c r="AO41" s="200">
        <v>0</v>
      </c>
      <c r="AP41" s="200">
        <v>1</v>
      </c>
      <c r="AQ41" s="200">
        <v>0</v>
      </c>
      <c r="AR41" s="200">
        <v>0</v>
      </c>
      <c r="AS41" s="201">
        <v>0</v>
      </c>
      <c r="AT41" s="199">
        <v>28</v>
      </c>
      <c r="AU41" s="200">
        <v>7</v>
      </c>
      <c r="AV41" s="200">
        <v>0</v>
      </c>
      <c r="AW41" s="200">
        <v>12</v>
      </c>
      <c r="AX41" s="200">
        <v>73</v>
      </c>
      <c r="AY41" s="200">
        <v>3</v>
      </c>
      <c r="AZ41" s="200">
        <v>4</v>
      </c>
      <c r="BA41" s="200">
        <v>1</v>
      </c>
      <c r="BB41" s="201">
        <v>0</v>
      </c>
      <c r="BC41" s="171">
        <v>33</v>
      </c>
    </row>
    <row r="42" spans="1:55" ht="20.100000000000001" customHeight="1" x14ac:dyDescent="0.4">
      <c r="A42" s="185">
        <v>49</v>
      </c>
      <c r="B42" s="186" t="s">
        <v>111</v>
      </c>
      <c r="C42" s="186" t="s">
        <v>112</v>
      </c>
      <c r="D42" s="187" t="s">
        <v>102</v>
      </c>
      <c r="E42" s="9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169"/>
      <c r="AK42" s="202">
        <v>0</v>
      </c>
      <c r="AL42" s="203">
        <v>0</v>
      </c>
      <c r="AM42" s="203">
        <v>0</v>
      </c>
      <c r="AN42" s="203">
        <v>0</v>
      </c>
      <c r="AO42" s="203">
        <v>0</v>
      </c>
      <c r="AP42" s="203">
        <v>0</v>
      </c>
      <c r="AQ42" s="203">
        <v>0</v>
      </c>
      <c r="AR42" s="203">
        <v>0</v>
      </c>
      <c r="AS42" s="204">
        <v>0</v>
      </c>
      <c r="AT42" s="202">
        <v>23</v>
      </c>
      <c r="AU42" s="203">
        <v>3</v>
      </c>
      <c r="AV42" s="203">
        <v>0</v>
      </c>
      <c r="AW42" s="203">
        <v>12</v>
      </c>
      <c r="AX42" s="203">
        <v>0</v>
      </c>
      <c r="AY42" s="203">
        <v>0</v>
      </c>
      <c r="AZ42" s="203">
        <v>9</v>
      </c>
      <c r="BA42" s="203">
        <v>3</v>
      </c>
      <c r="BB42" s="204">
        <v>0</v>
      </c>
      <c r="BC42" s="76">
        <v>37</v>
      </c>
    </row>
    <row r="43" spans="1:55" ht="20.100000000000001" customHeight="1" x14ac:dyDescent="0.4">
      <c r="A43" s="185">
        <v>65</v>
      </c>
      <c r="B43" s="186" t="s">
        <v>113</v>
      </c>
      <c r="C43" s="186" t="s">
        <v>114</v>
      </c>
      <c r="D43" s="187" t="s">
        <v>102</v>
      </c>
      <c r="E43" s="9"/>
      <c r="F43" s="3"/>
      <c r="G43" s="3" t="s">
        <v>102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 t="s">
        <v>32</v>
      </c>
      <c r="AC43" s="3" t="s">
        <v>32</v>
      </c>
      <c r="AD43" s="3" t="s">
        <v>336</v>
      </c>
      <c r="AE43" s="3" t="s">
        <v>336</v>
      </c>
      <c r="AF43" s="3"/>
      <c r="AG43" s="3"/>
      <c r="AH43" s="3"/>
      <c r="AI43" s="3"/>
      <c r="AJ43" s="169"/>
      <c r="AK43" s="202">
        <v>0</v>
      </c>
      <c r="AL43" s="203">
        <v>0</v>
      </c>
      <c r="AM43" s="203">
        <v>0</v>
      </c>
      <c r="AN43" s="203">
        <v>2</v>
      </c>
      <c r="AO43" s="203">
        <v>0</v>
      </c>
      <c r="AP43" s="203">
        <v>0</v>
      </c>
      <c r="AQ43" s="203">
        <v>0</v>
      </c>
      <c r="AR43" s="203">
        <v>0</v>
      </c>
      <c r="AS43" s="204">
        <v>0</v>
      </c>
      <c r="AT43" s="202">
        <v>23</v>
      </c>
      <c r="AU43" s="203">
        <v>4</v>
      </c>
      <c r="AV43" s="203">
        <v>0</v>
      </c>
      <c r="AW43" s="203">
        <v>10</v>
      </c>
      <c r="AX43" s="203">
        <v>0</v>
      </c>
      <c r="AY43" s="203">
        <v>1</v>
      </c>
      <c r="AZ43" s="203">
        <v>11</v>
      </c>
      <c r="BA43" s="203">
        <v>0</v>
      </c>
      <c r="BB43" s="204">
        <v>0</v>
      </c>
      <c r="BC43" s="76">
        <v>26</v>
      </c>
    </row>
    <row r="44" spans="1:55" ht="20.100000000000001" customHeight="1" x14ac:dyDescent="0.4">
      <c r="A44" s="188">
        <v>93</v>
      </c>
      <c r="B44" s="189" t="s">
        <v>115</v>
      </c>
      <c r="C44" s="189" t="s">
        <v>116</v>
      </c>
      <c r="D44" s="190" t="s">
        <v>102</v>
      </c>
      <c r="E44" s="13" t="s">
        <v>338</v>
      </c>
      <c r="F44" s="4" t="s">
        <v>338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 t="s">
        <v>125</v>
      </c>
      <c r="Z44" s="4" t="s">
        <v>125</v>
      </c>
      <c r="AA44" s="4" t="s">
        <v>125</v>
      </c>
      <c r="AB44" s="4"/>
      <c r="AC44" s="4"/>
      <c r="AD44" s="4"/>
      <c r="AE44" s="4"/>
      <c r="AF44" s="4"/>
      <c r="AG44" s="4"/>
      <c r="AH44" s="4"/>
      <c r="AI44" s="4"/>
      <c r="AJ44" s="170"/>
      <c r="AK44" s="205">
        <v>0</v>
      </c>
      <c r="AL44" s="206">
        <v>0</v>
      </c>
      <c r="AM44" s="206">
        <v>0</v>
      </c>
      <c r="AN44" s="206">
        <v>0</v>
      </c>
      <c r="AO44" s="206">
        <v>0</v>
      </c>
      <c r="AP44" s="206">
        <v>1</v>
      </c>
      <c r="AQ44" s="206">
        <v>0</v>
      </c>
      <c r="AR44" s="206">
        <v>0</v>
      </c>
      <c r="AS44" s="207">
        <v>0</v>
      </c>
      <c r="AT44" s="205">
        <v>23</v>
      </c>
      <c r="AU44" s="206">
        <v>4</v>
      </c>
      <c r="AV44" s="206">
        <v>0</v>
      </c>
      <c r="AW44" s="206">
        <v>12</v>
      </c>
      <c r="AX44" s="206">
        <v>0</v>
      </c>
      <c r="AY44" s="206">
        <v>6</v>
      </c>
      <c r="AZ44" s="206">
        <v>5</v>
      </c>
      <c r="BA44" s="206">
        <v>1</v>
      </c>
      <c r="BB44" s="207">
        <v>0</v>
      </c>
      <c r="BC44" s="172">
        <v>6</v>
      </c>
    </row>
    <row r="45" spans="1:55" ht="20.100000000000001" customHeight="1" x14ac:dyDescent="0.4">
      <c r="A45" s="191">
        <v>97</v>
      </c>
      <c r="B45" s="192" t="s">
        <v>117</v>
      </c>
      <c r="C45" s="192" t="s">
        <v>118</v>
      </c>
      <c r="D45" s="193" t="s">
        <v>119</v>
      </c>
      <c r="E45" s="177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 t="s">
        <v>32</v>
      </c>
      <c r="W45" s="178" t="s">
        <v>32</v>
      </c>
      <c r="X45" s="178" t="s">
        <v>336</v>
      </c>
      <c r="Y45" s="178" t="s">
        <v>336</v>
      </c>
      <c r="Z45" s="178" t="s">
        <v>336</v>
      </c>
      <c r="AA45" s="178" t="s">
        <v>336</v>
      </c>
      <c r="AB45" s="178" t="s">
        <v>32</v>
      </c>
      <c r="AC45" s="178" t="s">
        <v>32</v>
      </c>
      <c r="AD45" s="178"/>
      <c r="AE45" s="178"/>
      <c r="AF45" s="178"/>
      <c r="AG45" s="178"/>
      <c r="AH45" s="178"/>
      <c r="AI45" s="178"/>
      <c r="AJ45" s="179"/>
      <c r="AK45" s="208">
        <v>0</v>
      </c>
      <c r="AL45" s="209">
        <v>0</v>
      </c>
      <c r="AM45" s="209">
        <v>0</v>
      </c>
      <c r="AN45" s="209">
        <v>4</v>
      </c>
      <c r="AO45" s="209">
        <v>0</v>
      </c>
      <c r="AP45" s="209">
        <v>0</v>
      </c>
      <c r="AQ45" s="209">
        <v>0</v>
      </c>
      <c r="AR45" s="209">
        <v>0</v>
      </c>
      <c r="AS45" s="210">
        <v>0</v>
      </c>
      <c r="AT45" s="208">
        <v>23</v>
      </c>
      <c r="AU45" s="209">
        <v>6</v>
      </c>
      <c r="AV45" s="209">
        <v>0</v>
      </c>
      <c r="AW45" s="209">
        <v>12</v>
      </c>
      <c r="AX45" s="209">
        <v>0</v>
      </c>
      <c r="AY45" s="209">
        <v>0</v>
      </c>
      <c r="AZ45" s="209">
        <v>0</v>
      </c>
      <c r="BA45" s="209">
        <v>0</v>
      </c>
      <c r="BB45" s="210">
        <v>0</v>
      </c>
      <c r="BC45" s="180">
        <v>34</v>
      </c>
    </row>
    <row r="46" spans="1:55" ht="20.100000000000001" customHeight="1" x14ac:dyDescent="0.4">
      <c r="A46" s="194">
        <v>23</v>
      </c>
      <c r="B46" s="195" t="s">
        <v>120</v>
      </c>
      <c r="C46" s="195" t="s">
        <v>121</v>
      </c>
      <c r="D46" s="196" t="s">
        <v>122</v>
      </c>
      <c r="E46" s="1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 t="s">
        <v>32</v>
      </c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168"/>
      <c r="AK46" s="199">
        <v>0</v>
      </c>
      <c r="AL46" s="200">
        <v>0</v>
      </c>
      <c r="AM46" s="200">
        <v>0</v>
      </c>
      <c r="AN46" s="200">
        <v>0</v>
      </c>
      <c r="AO46" s="200">
        <v>0</v>
      </c>
      <c r="AP46" s="200">
        <v>0</v>
      </c>
      <c r="AQ46" s="200">
        <v>0</v>
      </c>
      <c r="AR46" s="200">
        <v>0</v>
      </c>
      <c r="AS46" s="201">
        <v>0</v>
      </c>
      <c r="AT46" s="199">
        <v>23</v>
      </c>
      <c r="AU46" s="200">
        <v>0</v>
      </c>
      <c r="AV46" s="200">
        <v>1</v>
      </c>
      <c r="AW46" s="200">
        <v>5</v>
      </c>
      <c r="AX46" s="200">
        <v>0</v>
      </c>
      <c r="AY46" s="200">
        <v>0</v>
      </c>
      <c r="AZ46" s="200">
        <v>0</v>
      </c>
      <c r="BA46" s="200">
        <v>0</v>
      </c>
      <c r="BB46" s="201">
        <v>0</v>
      </c>
      <c r="BC46" s="171">
        <v>39.5</v>
      </c>
    </row>
    <row r="47" spans="1:55" ht="20.100000000000001" customHeight="1" x14ac:dyDescent="0.4">
      <c r="A47" s="185">
        <v>5</v>
      </c>
      <c r="B47" s="186" t="s">
        <v>123</v>
      </c>
      <c r="C47" s="186" t="s">
        <v>124</v>
      </c>
      <c r="D47" s="187" t="s">
        <v>125</v>
      </c>
      <c r="E47" s="9" t="s">
        <v>125</v>
      </c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 t="s">
        <v>32</v>
      </c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169"/>
      <c r="AK47" s="202">
        <v>0</v>
      </c>
      <c r="AL47" s="203">
        <v>0</v>
      </c>
      <c r="AM47" s="203">
        <v>0</v>
      </c>
      <c r="AN47" s="203">
        <v>0</v>
      </c>
      <c r="AO47" s="203">
        <v>0</v>
      </c>
      <c r="AP47" s="203">
        <v>0</v>
      </c>
      <c r="AQ47" s="203">
        <v>0</v>
      </c>
      <c r="AR47" s="203">
        <v>0</v>
      </c>
      <c r="AS47" s="204">
        <v>0</v>
      </c>
      <c r="AT47" s="202">
        <v>22</v>
      </c>
      <c r="AU47" s="203">
        <v>4</v>
      </c>
      <c r="AV47" s="203">
        <v>0</v>
      </c>
      <c r="AW47" s="203">
        <v>10</v>
      </c>
      <c r="AX47" s="203">
        <v>0</v>
      </c>
      <c r="AY47" s="203">
        <v>0</v>
      </c>
      <c r="AZ47" s="203">
        <v>0</v>
      </c>
      <c r="BA47" s="203">
        <v>0</v>
      </c>
      <c r="BB47" s="204">
        <v>0</v>
      </c>
      <c r="BC47" s="76">
        <v>36</v>
      </c>
    </row>
    <row r="48" spans="1:55" ht="20.100000000000001" customHeight="1" x14ac:dyDescent="0.4">
      <c r="A48" s="185">
        <v>7</v>
      </c>
      <c r="B48" s="186" t="s">
        <v>126</v>
      </c>
      <c r="C48" s="186" t="s">
        <v>127</v>
      </c>
      <c r="D48" s="187"/>
      <c r="E48" s="9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169"/>
      <c r="AK48" s="202">
        <v>0</v>
      </c>
      <c r="AL48" s="203">
        <v>0</v>
      </c>
      <c r="AM48" s="203">
        <v>0</v>
      </c>
      <c r="AN48" s="203">
        <v>0</v>
      </c>
      <c r="AO48" s="203">
        <v>0</v>
      </c>
      <c r="AP48" s="203">
        <v>0</v>
      </c>
      <c r="AQ48" s="203">
        <v>0</v>
      </c>
      <c r="AR48" s="203">
        <v>0</v>
      </c>
      <c r="AS48" s="204">
        <v>0</v>
      </c>
      <c r="AT48" s="202">
        <v>23</v>
      </c>
      <c r="AU48" s="203">
        <v>7</v>
      </c>
      <c r="AV48" s="203">
        <v>0</v>
      </c>
      <c r="AW48" s="203">
        <v>9</v>
      </c>
      <c r="AX48" s="203">
        <v>1</v>
      </c>
      <c r="AY48" s="203">
        <v>0</v>
      </c>
      <c r="AZ48" s="203">
        <v>0</v>
      </c>
      <c r="BA48" s="203">
        <v>0</v>
      </c>
      <c r="BB48" s="204">
        <v>0</v>
      </c>
      <c r="BC48" s="76">
        <v>33</v>
      </c>
    </row>
    <row r="49" spans="1:55" ht="20.100000000000001" customHeight="1" x14ac:dyDescent="0.4">
      <c r="A49" s="188">
        <v>9</v>
      </c>
      <c r="B49" s="189" t="s">
        <v>128</v>
      </c>
      <c r="C49" s="189" t="s">
        <v>129</v>
      </c>
      <c r="D49" s="190"/>
      <c r="E49" s="13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 t="s">
        <v>32</v>
      </c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170"/>
      <c r="AK49" s="205">
        <v>0</v>
      </c>
      <c r="AL49" s="206">
        <v>0</v>
      </c>
      <c r="AM49" s="206">
        <v>0</v>
      </c>
      <c r="AN49" s="206">
        <v>0</v>
      </c>
      <c r="AO49" s="206">
        <v>0</v>
      </c>
      <c r="AP49" s="206">
        <v>0</v>
      </c>
      <c r="AQ49" s="206">
        <v>0</v>
      </c>
      <c r="AR49" s="206">
        <v>0</v>
      </c>
      <c r="AS49" s="207">
        <v>0</v>
      </c>
      <c r="AT49" s="205">
        <v>24</v>
      </c>
      <c r="AU49" s="206">
        <v>3</v>
      </c>
      <c r="AV49" s="206">
        <v>0</v>
      </c>
      <c r="AW49" s="206">
        <v>12</v>
      </c>
      <c r="AX49" s="206">
        <v>0</v>
      </c>
      <c r="AY49" s="206">
        <v>0</v>
      </c>
      <c r="AZ49" s="206">
        <v>0</v>
      </c>
      <c r="BA49" s="206">
        <v>0</v>
      </c>
      <c r="BB49" s="207">
        <v>0</v>
      </c>
      <c r="BC49" s="172">
        <v>37</v>
      </c>
    </row>
    <row r="50" spans="1:55" ht="20.100000000000001" customHeight="1" x14ac:dyDescent="0.4">
      <c r="A50" s="191">
        <v>10</v>
      </c>
      <c r="B50" s="192" t="s">
        <v>130</v>
      </c>
      <c r="C50" s="192" t="s">
        <v>131</v>
      </c>
      <c r="D50" s="193"/>
      <c r="E50" s="177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178"/>
      <c r="X50" s="178"/>
      <c r="Y50" s="178"/>
      <c r="Z50" s="178"/>
      <c r="AA50" s="178"/>
      <c r="AB50" s="178"/>
      <c r="AC50" s="178"/>
      <c r="AD50" s="178"/>
      <c r="AE50" s="178"/>
      <c r="AF50" s="178"/>
      <c r="AG50" s="178"/>
      <c r="AH50" s="178"/>
      <c r="AI50" s="178"/>
      <c r="AJ50" s="179"/>
      <c r="AK50" s="208">
        <v>0</v>
      </c>
      <c r="AL50" s="209">
        <v>0</v>
      </c>
      <c r="AM50" s="209">
        <v>0</v>
      </c>
      <c r="AN50" s="209">
        <v>0</v>
      </c>
      <c r="AO50" s="209">
        <v>0</v>
      </c>
      <c r="AP50" s="209">
        <v>0</v>
      </c>
      <c r="AQ50" s="209">
        <v>0</v>
      </c>
      <c r="AR50" s="209">
        <v>0</v>
      </c>
      <c r="AS50" s="210">
        <v>0</v>
      </c>
      <c r="AT50" s="208">
        <v>23</v>
      </c>
      <c r="AU50" s="209">
        <v>5</v>
      </c>
      <c r="AV50" s="209">
        <v>0</v>
      </c>
      <c r="AW50" s="209">
        <v>12</v>
      </c>
      <c r="AX50" s="209">
        <v>0</v>
      </c>
      <c r="AY50" s="209">
        <v>0</v>
      </c>
      <c r="AZ50" s="209">
        <v>0</v>
      </c>
      <c r="BA50" s="209">
        <v>5</v>
      </c>
      <c r="BB50" s="210">
        <v>0</v>
      </c>
      <c r="BC50" s="180">
        <v>35</v>
      </c>
    </row>
    <row r="51" spans="1:55" ht="20.100000000000001" customHeight="1" x14ac:dyDescent="0.4">
      <c r="A51" s="194">
        <v>12</v>
      </c>
      <c r="B51" s="195" t="s">
        <v>132</v>
      </c>
      <c r="C51" s="195" t="s">
        <v>133</v>
      </c>
      <c r="D51" s="196"/>
      <c r="E51" s="1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 t="s">
        <v>32</v>
      </c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168"/>
      <c r="AK51" s="199">
        <v>0</v>
      </c>
      <c r="AL51" s="200">
        <v>0</v>
      </c>
      <c r="AM51" s="200">
        <v>0</v>
      </c>
      <c r="AN51" s="200">
        <v>0</v>
      </c>
      <c r="AO51" s="200">
        <v>0</v>
      </c>
      <c r="AP51" s="200">
        <v>0</v>
      </c>
      <c r="AQ51" s="200">
        <v>0</v>
      </c>
      <c r="AR51" s="200">
        <v>0</v>
      </c>
      <c r="AS51" s="201">
        <v>0</v>
      </c>
      <c r="AT51" s="199">
        <v>23</v>
      </c>
      <c r="AU51" s="200">
        <v>2</v>
      </c>
      <c r="AV51" s="200">
        <v>0</v>
      </c>
      <c r="AW51" s="200">
        <v>12</v>
      </c>
      <c r="AX51" s="200">
        <v>0</v>
      </c>
      <c r="AY51" s="200">
        <v>0</v>
      </c>
      <c r="AZ51" s="200">
        <v>6</v>
      </c>
      <c r="BA51" s="200">
        <v>0</v>
      </c>
      <c r="BB51" s="201">
        <v>0</v>
      </c>
      <c r="BC51" s="171">
        <v>38</v>
      </c>
    </row>
    <row r="52" spans="1:55" ht="20.100000000000001" customHeight="1" x14ac:dyDescent="0.4">
      <c r="A52" s="185">
        <v>13</v>
      </c>
      <c r="B52" s="186" t="s">
        <v>134</v>
      </c>
      <c r="C52" s="186" t="s">
        <v>135</v>
      </c>
      <c r="D52" s="187"/>
      <c r="E52" s="9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 t="s">
        <v>32</v>
      </c>
      <c r="W52" s="3" t="s">
        <v>32</v>
      </c>
      <c r="X52" s="3" t="s">
        <v>336</v>
      </c>
      <c r="Y52" s="3" t="s">
        <v>336</v>
      </c>
      <c r="Z52" s="3" t="s">
        <v>336</v>
      </c>
      <c r="AA52" s="3" t="s">
        <v>336</v>
      </c>
      <c r="AB52" s="3" t="s">
        <v>32</v>
      </c>
      <c r="AC52" s="3" t="s">
        <v>32</v>
      </c>
      <c r="AD52" s="3" t="s">
        <v>336</v>
      </c>
      <c r="AE52" s="3" t="s">
        <v>336</v>
      </c>
      <c r="AF52" s="3" t="s">
        <v>336</v>
      </c>
      <c r="AG52" s="3" t="s">
        <v>336</v>
      </c>
      <c r="AH52" s="3" t="s">
        <v>336</v>
      </c>
      <c r="AI52" s="3" t="s">
        <v>336</v>
      </c>
      <c r="AJ52" s="169"/>
      <c r="AK52" s="202">
        <v>0</v>
      </c>
      <c r="AL52" s="203">
        <v>0</v>
      </c>
      <c r="AM52" s="203">
        <v>0</v>
      </c>
      <c r="AN52" s="203">
        <v>10</v>
      </c>
      <c r="AO52" s="203">
        <v>0</v>
      </c>
      <c r="AP52" s="203">
        <v>0</v>
      </c>
      <c r="AQ52" s="203">
        <v>0</v>
      </c>
      <c r="AR52" s="203">
        <v>0</v>
      </c>
      <c r="AS52" s="204">
        <v>0</v>
      </c>
      <c r="AT52" s="202">
        <v>23</v>
      </c>
      <c r="AU52" s="203">
        <v>1</v>
      </c>
      <c r="AV52" s="203">
        <v>1</v>
      </c>
      <c r="AW52" s="203">
        <v>12</v>
      </c>
      <c r="AX52" s="203">
        <v>0</v>
      </c>
      <c r="AY52" s="203">
        <v>0</v>
      </c>
      <c r="AZ52" s="203">
        <v>0</v>
      </c>
      <c r="BA52" s="203">
        <v>0</v>
      </c>
      <c r="BB52" s="204">
        <v>0</v>
      </c>
      <c r="BC52" s="76">
        <v>38.5</v>
      </c>
    </row>
    <row r="53" spans="1:55" ht="20.100000000000001" customHeight="1" x14ac:dyDescent="0.4">
      <c r="A53" s="185">
        <v>14</v>
      </c>
      <c r="B53" s="186" t="s">
        <v>136</v>
      </c>
      <c r="C53" s="186" t="s">
        <v>137</v>
      </c>
      <c r="D53" s="187"/>
      <c r="E53" s="9"/>
      <c r="F53" s="3"/>
      <c r="G53" s="3"/>
      <c r="H53" s="3" t="s">
        <v>32</v>
      </c>
      <c r="I53" s="3" t="s">
        <v>336</v>
      </c>
      <c r="J53" s="3" t="s">
        <v>336</v>
      </c>
      <c r="K53" s="3" t="s">
        <v>336</v>
      </c>
      <c r="L53" s="3" t="s">
        <v>336</v>
      </c>
      <c r="M53" s="3" t="s">
        <v>336</v>
      </c>
      <c r="N53" s="3" t="s">
        <v>32</v>
      </c>
      <c r="O53" s="3" t="s">
        <v>32</v>
      </c>
      <c r="P53" s="3"/>
      <c r="Q53" s="3" t="s">
        <v>32</v>
      </c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169"/>
      <c r="AK53" s="202">
        <v>0</v>
      </c>
      <c r="AL53" s="203">
        <v>0</v>
      </c>
      <c r="AM53" s="203">
        <v>0</v>
      </c>
      <c r="AN53" s="203">
        <v>5</v>
      </c>
      <c r="AO53" s="203">
        <v>0</v>
      </c>
      <c r="AP53" s="203">
        <v>0</v>
      </c>
      <c r="AQ53" s="203">
        <v>0</v>
      </c>
      <c r="AR53" s="203">
        <v>0</v>
      </c>
      <c r="AS53" s="204">
        <v>0</v>
      </c>
      <c r="AT53" s="202">
        <v>23</v>
      </c>
      <c r="AU53" s="203">
        <v>3</v>
      </c>
      <c r="AV53" s="203">
        <v>0</v>
      </c>
      <c r="AW53" s="203">
        <v>14</v>
      </c>
      <c r="AX53" s="203">
        <v>0</v>
      </c>
      <c r="AY53" s="203">
        <v>3</v>
      </c>
      <c r="AZ53" s="203">
        <v>0</v>
      </c>
      <c r="BA53" s="203">
        <v>0</v>
      </c>
      <c r="BB53" s="204">
        <v>0</v>
      </c>
      <c r="BC53" s="76">
        <v>37</v>
      </c>
    </row>
    <row r="54" spans="1:55" ht="20.100000000000001" customHeight="1" x14ac:dyDescent="0.4">
      <c r="A54" s="188">
        <v>16</v>
      </c>
      <c r="B54" s="189" t="s">
        <v>138</v>
      </c>
      <c r="C54" s="189" t="s">
        <v>139</v>
      </c>
      <c r="D54" s="190"/>
      <c r="E54" s="13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 t="s">
        <v>32</v>
      </c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170"/>
      <c r="AK54" s="205">
        <v>0</v>
      </c>
      <c r="AL54" s="206">
        <v>0</v>
      </c>
      <c r="AM54" s="206">
        <v>0</v>
      </c>
      <c r="AN54" s="206">
        <v>0</v>
      </c>
      <c r="AO54" s="206">
        <v>0</v>
      </c>
      <c r="AP54" s="206">
        <v>0</v>
      </c>
      <c r="AQ54" s="206">
        <v>0</v>
      </c>
      <c r="AR54" s="206">
        <v>0</v>
      </c>
      <c r="AS54" s="207">
        <v>0</v>
      </c>
      <c r="AT54" s="205">
        <v>23</v>
      </c>
      <c r="AU54" s="206">
        <v>1</v>
      </c>
      <c r="AV54" s="206">
        <v>0</v>
      </c>
      <c r="AW54" s="206">
        <v>0</v>
      </c>
      <c r="AX54" s="206">
        <v>0</v>
      </c>
      <c r="AY54" s="206">
        <v>0</v>
      </c>
      <c r="AZ54" s="206">
        <v>0</v>
      </c>
      <c r="BA54" s="206">
        <v>0</v>
      </c>
      <c r="BB54" s="207">
        <v>0</v>
      </c>
      <c r="BC54" s="172">
        <v>39</v>
      </c>
    </row>
    <row r="55" spans="1:55" ht="20.100000000000001" customHeight="1" x14ac:dyDescent="0.4">
      <c r="A55" s="191">
        <v>17</v>
      </c>
      <c r="B55" s="192" t="s">
        <v>140</v>
      </c>
      <c r="C55" s="192" t="s">
        <v>141</v>
      </c>
      <c r="D55" s="193"/>
      <c r="E55" s="177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 t="s">
        <v>102</v>
      </c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8"/>
      <c r="AJ55" s="179"/>
      <c r="AK55" s="208">
        <v>0</v>
      </c>
      <c r="AL55" s="209">
        <v>0</v>
      </c>
      <c r="AM55" s="209">
        <v>0</v>
      </c>
      <c r="AN55" s="209">
        <v>0</v>
      </c>
      <c r="AO55" s="209">
        <v>0</v>
      </c>
      <c r="AP55" s="209">
        <v>0</v>
      </c>
      <c r="AQ55" s="209">
        <v>0</v>
      </c>
      <c r="AR55" s="209">
        <v>0</v>
      </c>
      <c r="AS55" s="210">
        <v>0</v>
      </c>
      <c r="AT55" s="208">
        <v>23</v>
      </c>
      <c r="AU55" s="209">
        <v>3</v>
      </c>
      <c r="AV55" s="209">
        <v>0</v>
      </c>
      <c r="AW55" s="209">
        <v>12</v>
      </c>
      <c r="AX55" s="209">
        <v>0</v>
      </c>
      <c r="AY55" s="209">
        <v>0</v>
      </c>
      <c r="AZ55" s="209">
        <v>0</v>
      </c>
      <c r="BA55" s="209">
        <v>6</v>
      </c>
      <c r="BB55" s="210">
        <v>0</v>
      </c>
      <c r="BC55" s="180">
        <v>37</v>
      </c>
    </row>
    <row r="56" spans="1:55" ht="20.100000000000001" customHeight="1" x14ac:dyDescent="0.4">
      <c r="A56" s="194">
        <v>89</v>
      </c>
      <c r="B56" s="195" t="s">
        <v>142</v>
      </c>
      <c r="C56" s="195" t="s">
        <v>143</v>
      </c>
      <c r="D56" s="196"/>
      <c r="E56" s="12"/>
      <c r="F56" s="2"/>
      <c r="G56" s="2"/>
      <c r="H56" s="2"/>
      <c r="I56" s="2"/>
      <c r="J56" s="2"/>
      <c r="K56" s="2"/>
      <c r="L56" s="2" t="s">
        <v>338</v>
      </c>
      <c r="M56" s="2" t="s">
        <v>338</v>
      </c>
      <c r="N56" s="2" t="s">
        <v>338</v>
      </c>
      <c r="O56" s="2"/>
      <c r="P56" s="2" t="s">
        <v>125</v>
      </c>
      <c r="Q56" s="2" t="s">
        <v>32</v>
      </c>
      <c r="R56" s="2"/>
      <c r="S56" s="2"/>
      <c r="T56" s="2"/>
      <c r="U56" s="2" t="s">
        <v>333</v>
      </c>
      <c r="V56" s="2"/>
      <c r="W56" s="2"/>
      <c r="X56" s="2"/>
      <c r="Y56" s="2"/>
      <c r="Z56" s="2"/>
      <c r="AA56" s="2" t="s">
        <v>336</v>
      </c>
      <c r="AB56" s="2" t="s">
        <v>32</v>
      </c>
      <c r="AC56" s="2" t="s">
        <v>32</v>
      </c>
      <c r="AD56" s="2"/>
      <c r="AE56" s="2"/>
      <c r="AF56" s="2"/>
      <c r="AG56" s="2"/>
      <c r="AH56" s="2"/>
      <c r="AI56" s="2"/>
      <c r="AJ56" s="168"/>
      <c r="AK56" s="199">
        <v>1</v>
      </c>
      <c r="AL56" s="200">
        <v>0</v>
      </c>
      <c r="AM56" s="200">
        <v>0</v>
      </c>
      <c r="AN56" s="200">
        <v>1</v>
      </c>
      <c r="AO56" s="200">
        <v>0</v>
      </c>
      <c r="AP56" s="200">
        <v>3</v>
      </c>
      <c r="AQ56" s="200">
        <v>0</v>
      </c>
      <c r="AR56" s="200">
        <v>0</v>
      </c>
      <c r="AS56" s="201">
        <v>0</v>
      </c>
      <c r="AT56" s="199">
        <v>24</v>
      </c>
      <c r="AU56" s="200">
        <v>7</v>
      </c>
      <c r="AV56" s="200">
        <v>0</v>
      </c>
      <c r="AW56" s="200">
        <v>12</v>
      </c>
      <c r="AX56" s="200">
        <v>0</v>
      </c>
      <c r="AY56" s="200">
        <v>3</v>
      </c>
      <c r="AZ56" s="200">
        <v>5</v>
      </c>
      <c r="BA56" s="200">
        <v>4</v>
      </c>
      <c r="BB56" s="201">
        <v>0</v>
      </c>
      <c r="BC56" s="171">
        <v>33</v>
      </c>
    </row>
    <row r="57" spans="1:55" ht="20.100000000000001" customHeight="1" x14ac:dyDescent="0.4">
      <c r="A57" s="185">
        <v>26</v>
      </c>
      <c r="B57" s="186" t="s">
        <v>144</v>
      </c>
      <c r="C57" s="186" t="s">
        <v>145</v>
      </c>
      <c r="D57" s="187"/>
      <c r="E57" s="9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 t="s">
        <v>32</v>
      </c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169"/>
      <c r="AK57" s="202">
        <v>0</v>
      </c>
      <c r="AL57" s="203">
        <v>0</v>
      </c>
      <c r="AM57" s="203">
        <v>0</v>
      </c>
      <c r="AN57" s="203">
        <v>0</v>
      </c>
      <c r="AO57" s="203">
        <v>0</v>
      </c>
      <c r="AP57" s="203">
        <v>0</v>
      </c>
      <c r="AQ57" s="203">
        <v>0</v>
      </c>
      <c r="AR57" s="203">
        <v>0</v>
      </c>
      <c r="AS57" s="204">
        <v>0</v>
      </c>
      <c r="AT57" s="202">
        <v>23</v>
      </c>
      <c r="AU57" s="203">
        <v>3</v>
      </c>
      <c r="AV57" s="203">
        <v>0</v>
      </c>
      <c r="AW57" s="203">
        <v>10</v>
      </c>
      <c r="AX57" s="203">
        <v>0</v>
      </c>
      <c r="AY57" s="203">
        <v>2</v>
      </c>
      <c r="AZ57" s="203">
        <v>9</v>
      </c>
      <c r="BA57" s="203">
        <v>1</v>
      </c>
      <c r="BB57" s="204">
        <v>0</v>
      </c>
      <c r="BC57" s="76">
        <v>37</v>
      </c>
    </row>
    <row r="58" spans="1:55" ht="20.100000000000001" customHeight="1" x14ac:dyDescent="0.4">
      <c r="A58" s="185">
        <v>27</v>
      </c>
      <c r="B58" s="186" t="s">
        <v>146</v>
      </c>
      <c r="C58" s="186" t="s">
        <v>147</v>
      </c>
      <c r="D58" s="187"/>
      <c r="E58" s="9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169"/>
      <c r="AK58" s="202">
        <v>0</v>
      </c>
      <c r="AL58" s="203">
        <v>0</v>
      </c>
      <c r="AM58" s="203">
        <v>0</v>
      </c>
      <c r="AN58" s="203">
        <v>0</v>
      </c>
      <c r="AO58" s="203">
        <v>0</v>
      </c>
      <c r="AP58" s="203">
        <v>0</v>
      </c>
      <c r="AQ58" s="203">
        <v>0</v>
      </c>
      <c r="AR58" s="203">
        <v>0</v>
      </c>
      <c r="AS58" s="204">
        <v>0</v>
      </c>
      <c r="AT58" s="202">
        <v>24</v>
      </c>
      <c r="AU58" s="203">
        <v>6</v>
      </c>
      <c r="AV58" s="203">
        <v>0</v>
      </c>
      <c r="AW58" s="203">
        <v>6</v>
      </c>
      <c r="AX58" s="203">
        <v>0</v>
      </c>
      <c r="AY58" s="203">
        <v>0</v>
      </c>
      <c r="AZ58" s="203">
        <v>5</v>
      </c>
      <c r="BA58" s="203">
        <v>3</v>
      </c>
      <c r="BB58" s="204">
        <v>0</v>
      </c>
      <c r="BC58" s="76">
        <v>34</v>
      </c>
    </row>
    <row r="59" spans="1:55" ht="20.100000000000001" customHeight="1" x14ac:dyDescent="0.4">
      <c r="A59" s="188">
        <v>96</v>
      </c>
      <c r="B59" s="189" t="s">
        <v>148</v>
      </c>
      <c r="C59" s="189" t="s">
        <v>149</v>
      </c>
      <c r="D59" s="190"/>
      <c r="E59" s="13"/>
      <c r="F59" s="4"/>
      <c r="G59" s="4" t="s">
        <v>102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 t="s">
        <v>32</v>
      </c>
      <c r="W59" s="4" t="s">
        <v>32</v>
      </c>
      <c r="X59" s="4" t="s">
        <v>336</v>
      </c>
      <c r="Y59" s="4" t="s">
        <v>336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170"/>
      <c r="AK59" s="205">
        <v>0</v>
      </c>
      <c r="AL59" s="206">
        <v>0</v>
      </c>
      <c r="AM59" s="206">
        <v>0</v>
      </c>
      <c r="AN59" s="206">
        <v>2</v>
      </c>
      <c r="AO59" s="206">
        <v>0</v>
      </c>
      <c r="AP59" s="206">
        <v>0</v>
      </c>
      <c r="AQ59" s="206">
        <v>0</v>
      </c>
      <c r="AR59" s="206">
        <v>0</v>
      </c>
      <c r="AS59" s="207">
        <v>0</v>
      </c>
      <c r="AT59" s="205">
        <v>23</v>
      </c>
      <c r="AU59" s="206">
        <v>3</v>
      </c>
      <c r="AV59" s="206">
        <v>0</v>
      </c>
      <c r="AW59" s="206">
        <v>12</v>
      </c>
      <c r="AX59" s="206">
        <v>0</v>
      </c>
      <c r="AY59" s="206">
        <v>1</v>
      </c>
      <c r="AZ59" s="206">
        <v>4</v>
      </c>
      <c r="BA59" s="206">
        <v>3</v>
      </c>
      <c r="BB59" s="207">
        <v>0</v>
      </c>
      <c r="BC59" s="172">
        <v>37</v>
      </c>
    </row>
    <row r="60" spans="1:55" ht="20.100000000000001" customHeight="1" x14ac:dyDescent="0.4">
      <c r="A60" s="191">
        <v>34</v>
      </c>
      <c r="B60" s="192" t="s">
        <v>150</v>
      </c>
      <c r="C60" s="192" t="s">
        <v>151</v>
      </c>
      <c r="D60" s="193"/>
      <c r="E60" s="177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 t="s">
        <v>32</v>
      </c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8"/>
      <c r="AJ60" s="179"/>
      <c r="AK60" s="208">
        <v>0</v>
      </c>
      <c r="AL60" s="209">
        <v>0</v>
      </c>
      <c r="AM60" s="209">
        <v>0</v>
      </c>
      <c r="AN60" s="209">
        <v>0</v>
      </c>
      <c r="AO60" s="209">
        <v>0</v>
      </c>
      <c r="AP60" s="209">
        <v>0</v>
      </c>
      <c r="AQ60" s="209">
        <v>0</v>
      </c>
      <c r="AR60" s="209">
        <v>0</v>
      </c>
      <c r="AS60" s="210">
        <v>0</v>
      </c>
      <c r="AT60" s="208">
        <v>23</v>
      </c>
      <c r="AU60" s="209">
        <v>6</v>
      </c>
      <c r="AV60" s="209">
        <v>1</v>
      </c>
      <c r="AW60" s="209">
        <v>5</v>
      </c>
      <c r="AX60" s="209">
        <v>0</v>
      </c>
      <c r="AY60" s="209">
        <v>0</v>
      </c>
      <c r="AZ60" s="209">
        <v>8</v>
      </c>
      <c r="BA60" s="209">
        <v>1</v>
      </c>
      <c r="BB60" s="210">
        <v>0</v>
      </c>
      <c r="BC60" s="180">
        <v>33.5</v>
      </c>
    </row>
    <row r="61" spans="1:55" ht="20.100000000000001" customHeight="1" x14ac:dyDescent="0.4">
      <c r="A61" s="194">
        <v>37</v>
      </c>
      <c r="B61" s="195" t="s">
        <v>152</v>
      </c>
      <c r="C61" s="195" t="s">
        <v>153</v>
      </c>
      <c r="D61" s="196"/>
      <c r="E61" s="1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 t="s">
        <v>32</v>
      </c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168"/>
      <c r="AK61" s="199">
        <v>0</v>
      </c>
      <c r="AL61" s="200">
        <v>0</v>
      </c>
      <c r="AM61" s="200">
        <v>0</v>
      </c>
      <c r="AN61" s="200">
        <v>0</v>
      </c>
      <c r="AO61" s="200">
        <v>0</v>
      </c>
      <c r="AP61" s="200">
        <v>0</v>
      </c>
      <c r="AQ61" s="200">
        <v>0</v>
      </c>
      <c r="AR61" s="200">
        <v>0</v>
      </c>
      <c r="AS61" s="201">
        <v>0</v>
      </c>
      <c r="AT61" s="199">
        <v>23</v>
      </c>
      <c r="AU61" s="200">
        <v>4</v>
      </c>
      <c r="AV61" s="200">
        <v>1</v>
      </c>
      <c r="AW61" s="200">
        <v>9</v>
      </c>
      <c r="AX61" s="200">
        <v>1</v>
      </c>
      <c r="AY61" s="200">
        <v>1</v>
      </c>
      <c r="AZ61" s="200">
        <v>7</v>
      </c>
      <c r="BA61" s="200">
        <v>2</v>
      </c>
      <c r="BB61" s="201">
        <v>0</v>
      </c>
      <c r="BC61" s="171">
        <v>35.5</v>
      </c>
    </row>
    <row r="62" spans="1:55" ht="20.100000000000001" customHeight="1" x14ac:dyDescent="0.4">
      <c r="A62" s="185">
        <v>38</v>
      </c>
      <c r="B62" s="186" t="s">
        <v>154</v>
      </c>
      <c r="C62" s="186" t="s">
        <v>155</v>
      </c>
      <c r="D62" s="187"/>
      <c r="E62" s="9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 t="s">
        <v>32</v>
      </c>
      <c r="AC62" s="3" t="s">
        <v>32</v>
      </c>
      <c r="AD62" s="3" t="s">
        <v>336</v>
      </c>
      <c r="AE62" s="3" t="s">
        <v>336</v>
      </c>
      <c r="AF62" s="3"/>
      <c r="AG62" s="3"/>
      <c r="AH62" s="3"/>
      <c r="AI62" s="3"/>
      <c r="AJ62" s="169"/>
      <c r="AK62" s="202">
        <v>0</v>
      </c>
      <c r="AL62" s="203">
        <v>0</v>
      </c>
      <c r="AM62" s="203">
        <v>0</v>
      </c>
      <c r="AN62" s="203">
        <v>2</v>
      </c>
      <c r="AO62" s="203">
        <v>0</v>
      </c>
      <c r="AP62" s="203">
        <v>0</v>
      </c>
      <c r="AQ62" s="203">
        <v>0</v>
      </c>
      <c r="AR62" s="203">
        <v>0</v>
      </c>
      <c r="AS62" s="204">
        <v>0</v>
      </c>
      <c r="AT62" s="202">
        <v>23</v>
      </c>
      <c r="AU62" s="203">
        <v>11</v>
      </c>
      <c r="AV62" s="203">
        <v>0</v>
      </c>
      <c r="AW62" s="203">
        <v>12</v>
      </c>
      <c r="AX62" s="203">
        <v>0</v>
      </c>
      <c r="AY62" s="203">
        <v>0</v>
      </c>
      <c r="AZ62" s="203">
        <v>10</v>
      </c>
      <c r="BA62" s="203">
        <v>1</v>
      </c>
      <c r="BB62" s="204">
        <v>0</v>
      </c>
      <c r="BC62" s="76">
        <v>29</v>
      </c>
    </row>
    <row r="63" spans="1:55" ht="20.100000000000001" customHeight="1" x14ac:dyDescent="0.4">
      <c r="A63" s="185">
        <v>39</v>
      </c>
      <c r="B63" s="186" t="s">
        <v>156</v>
      </c>
      <c r="C63" s="186" t="s">
        <v>157</v>
      </c>
      <c r="D63" s="187"/>
      <c r="E63" s="9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169"/>
      <c r="AK63" s="202">
        <v>0</v>
      </c>
      <c r="AL63" s="203">
        <v>0</v>
      </c>
      <c r="AM63" s="203">
        <v>0</v>
      </c>
      <c r="AN63" s="203">
        <v>0</v>
      </c>
      <c r="AO63" s="203">
        <v>0</v>
      </c>
      <c r="AP63" s="203">
        <v>0</v>
      </c>
      <c r="AQ63" s="203">
        <v>0</v>
      </c>
      <c r="AR63" s="203">
        <v>0</v>
      </c>
      <c r="AS63" s="204">
        <v>0</v>
      </c>
      <c r="AT63" s="202">
        <v>23</v>
      </c>
      <c r="AU63" s="203">
        <v>7</v>
      </c>
      <c r="AV63" s="203">
        <v>0</v>
      </c>
      <c r="AW63" s="203">
        <v>11</v>
      </c>
      <c r="AX63" s="203">
        <v>0</v>
      </c>
      <c r="AY63" s="203">
        <v>0</v>
      </c>
      <c r="AZ63" s="203">
        <v>6</v>
      </c>
      <c r="BA63" s="203">
        <v>2</v>
      </c>
      <c r="BB63" s="204">
        <v>0</v>
      </c>
      <c r="BC63" s="76">
        <v>33</v>
      </c>
    </row>
    <row r="64" spans="1:55" ht="20.100000000000001" customHeight="1" x14ac:dyDescent="0.4">
      <c r="A64" s="188">
        <v>40</v>
      </c>
      <c r="B64" s="189" t="s">
        <v>158</v>
      </c>
      <c r="C64" s="189" t="s">
        <v>159</v>
      </c>
      <c r="D64" s="190"/>
      <c r="E64" s="13"/>
      <c r="F64" s="4"/>
      <c r="G64" s="4" t="s">
        <v>337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 t="s">
        <v>337</v>
      </c>
      <c r="V64" s="4"/>
      <c r="W64" s="4"/>
      <c r="X64" s="4"/>
      <c r="Y64" s="4"/>
      <c r="Z64" s="4" t="s">
        <v>336</v>
      </c>
      <c r="AA64" s="4" t="s">
        <v>336</v>
      </c>
      <c r="AB64" s="4" t="s">
        <v>32</v>
      </c>
      <c r="AC64" s="4" t="s">
        <v>32</v>
      </c>
      <c r="AD64" s="4"/>
      <c r="AE64" s="4"/>
      <c r="AF64" s="4"/>
      <c r="AG64" s="4"/>
      <c r="AH64" s="4"/>
      <c r="AI64" s="4" t="s">
        <v>337</v>
      </c>
      <c r="AJ64" s="170"/>
      <c r="AK64" s="205">
        <v>0</v>
      </c>
      <c r="AL64" s="206">
        <v>0</v>
      </c>
      <c r="AM64" s="206">
        <v>0</v>
      </c>
      <c r="AN64" s="206">
        <v>2</v>
      </c>
      <c r="AO64" s="206">
        <v>3</v>
      </c>
      <c r="AP64" s="206">
        <v>0</v>
      </c>
      <c r="AQ64" s="206">
        <v>0</v>
      </c>
      <c r="AR64" s="206">
        <v>0</v>
      </c>
      <c r="AS64" s="207">
        <v>0</v>
      </c>
      <c r="AT64" s="205">
        <v>23</v>
      </c>
      <c r="AU64" s="206">
        <v>6</v>
      </c>
      <c r="AV64" s="206">
        <v>2</v>
      </c>
      <c r="AW64" s="206">
        <v>12</v>
      </c>
      <c r="AX64" s="206">
        <v>27</v>
      </c>
      <c r="AY64" s="206">
        <v>0</v>
      </c>
      <c r="AZ64" s="206">
        <v>0</v>
      </c>
      <c r="BA64" s="206">
        <v>0</v>
      </c>
      <c r="BB64" s="207">
        <v>0</v>
      </c>
      <c r="BC64" s="172">
        <v>33</v>
      </c>
    </row>
    <row r="65" spans="1:55" ht="20.100000000000001" customHeight="1" x14ac:dyDescent="0.4">
      <c r="A65" s="191">
        <v>42</v>
      </c>
      <c r="B65" s="192" t="s">
        <v>160</v>
      </c>
      <c r="C65" s="192" t="s">
        <v>161</v>
      </c>
      <c r="D65" s="193"/>
      <c r="E65" s="177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8"/>
      <c r="AJ65" s="179"/>
      <c r="AK65" s="208">
        <v>0</v>
      </c>
      <c r="AL65" s="209">
        <v>0</v>
      </c>
      <c r="AM65" s="209">
        <v>0</v>
      </c>
      <c r="AN65" s="209">
        <v>0</v>
      </c>
      <c r="AO65" s="209">
        <v>0</v>
      </c>
      <c r="AP65" s="209">
        <v>0</v>
      </c>
      <c r="AQ65" s="209">
        <v>0</v>
      </c>
      <c r="AR65" s="209">
        <v>0</v>
      </c>
      <c r="AS65" s="210">
        <v>0</v>
      </c>
      <c r="AT65" s="208">
        <v>23</v>
      </c>
      <c r="AU65" s="209">
        <v>2</v>
      </c>
      <c r="AV65" s="209">
        <v>0</v>
      </c>
      <c r="AW65" s="209">
        <v>9</v>
      </c>
      <c r="AX65" s="209">
        <v>0</v>
      </c>
      <c r="AY65" s="209">
        <v>0</v>
      </c>
      <c r="AZ65" s="209">
        <v>6</v>
      </c>
      <c r="BA65" s="209">
        <v>1</v>
      </c>
      <c r="BB65" s="210">
        <v>0</v>
      </c>
      <c r="BC65" s="180">
        <v>38</v>
      </c>
    </row>
    <row r="66" spans="1:55" ht="20.100000000000001" customHeight="1" x14ac:dyDescent="0.4">
      <c r="A66" s="194">
        <v>44</v>
      </c>
      <c r="B66" s="195" t="s">
        <v>162</v>
      </c>
      <c r="C66" s="195" t="s">
        <v>163</v>
      </c>
      <c r="D66" s="196"/>
      <c r="E66" s="1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 t="s">
        <v>125</v>
      </c>
      <c r="U66" s="2" t="s">
        <v>336</v>
      </c>
      <c r="V66" s="2" t="s">
        <v>32</v>
      </c>
      <c r="W66" s="2" t="s">
        <v>32</v>
      </c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 t="s">
        <v>32</v>
      </c>
      <c r="AJ66" s="168"/>
      <c r="AK66" s="199">
        <v>0</v>
      </c>
      <c r="AL66" s="200">
        <v>0</v>
      </c>
      <c r="AM66" s="200">
        <v>0</v>
      </c>
      <c r="AN66" s="200">
        <v>1</v>
      </c>
      <c r="AO66" s="200">
        <v>0</v>
      </c>
      <c r="AP66" s="200">
        <v>0</v>
      </c>
      <c r="AQ66" s="200">
        <v>0</v>
      </c>
      <c r="AR66" s="200">
        <v>0</v>
      </c>
      <c r="AS66" s="201">
        <v>0</v>
      </c>
      <c r="AT66" s="199">
        <v>26</v>
      </c>
      <c r="AU66" s="200">
        <v>3</v>
      </c>
      <c r="AV66" s="200">
        <v>0</v>
      </c>
      <c r="AW66" s="200">
        <v>10</v>
      </c>
      <c r="AX66" s="200">
        <v>0</v>
      </c>
      <c r="AY66" s="200">
        <v>1</v>
      </c>
      <c r="AZ66" s="200">
        <v>4</v>
      </c>
      <c r="BA66" s="200">
        <v>4</v>
      </c>
      <c r="BB66" s="201">
        <v>0</v>
      </c>
      <c r="BC66" s="171">
        <v>37</v>
      </c>
    </row>
    <row r="67" spans="1:55" ht="20.100000000000001" customHeight="1" x14ac:dyDescent="0.4">
      <c r="A67" s="185">
        <v>45</v>
      </c>
      <c r="B67" s="186" t="s">
        <v>164</v>
      </c>
      <c r="C67" s="186" t="s">
        <v>165</v>
      </c>
      <c r="D67" s="187"/>
      <c r="E67" s="9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169"/>
      <c r="AK67" s="202">
        <v>0</v>
      </c>
      <c r="AL67" s="203">
        <v>0</v>
      </c>
      <c r="AM67" s="203">
        <v>0</v>
      </c>
      <c r="AN67" s="203">
        <v>0</v>
      </c>
      <c r="AO67" s="203">
        <v>0</v>
      </c>
      <c r="AP67" s="203">
        <v>0</v>
      </c>
      <c r="AQ67" s="203">
        <v>0</v>
      </c>
      <c r="AR67" s="203">
        <v>0</v>
      </c>
      <c r="AS67" s="204">
        <v>0</v>
      </c>
      <c r="AT67" s="202">
        <v>24</v>
      </c>
      <c r="AU67" s="203">
        <v>4</v>
      </c>
      <c r="AV67" s="203">
        <v>1</v>
      </c>
      <c r="AW67" s="203">
        <v>10</v>
      </c>
      <c r="AX67" s="203">
        <v>0</v>
      </c>
      <c r="AY67" s="203">
        <v>0</v>
      </c>
      <c r="AZ67" s="203">
        <v>4</v>
      </c>
      <c r="BA67" s="203">
        <v>1</v>
      </c>
      <c r="BB67" s="204">
        <v>0</v>
      </c>
      <c r="BC67" s="76">
        <v>35.5</v>
      </c>
    </row>
    <row r="68" spans="1:55" ht="20.100000000000001" customHeight="1" x14ac:dyDescent="0.4">
      <c r="A68" s="185">
        <v>46</v>
      </c>
      <c r="B68" s="186" t="s">
        <v>166</v>
      </c>
      <c r="C68" s="186" t="s">
        <v>167</v>
      </c>
      <c r="D68" s="187"/>
      <c r="E68" s="9"/>
      <c r="F68" s="3"/>
      <c r="G68" s="3" t="s">
        <v>125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 t="s">
        <v>125</v>
      </c>
      <c r="U68" s="3" t="s">
        <v>125</v>
      </c>
      <c r="V68" s="3" t="s">
        <v>125</v>
      </c>
      <c r="W68" s="3" t="s">
        <v>125</v>
      </c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 t="s">
        <v>125</v>
      </c>
      <c r="AJ68" s="169"/>
      <c r="AK68" s="202">
        <v>0</v>
      </c>
      <c r="AL68" s="203">
        <v>0</v>
      </c>
      <c r="AM68" s="203">
        <v>0</v>
      </c>
      <c r="AN68" s="203">
        <v>0</v>
      </c>
      <c r="AO68" s="203">
        <v>0</v>
      </c>
      <c r="AP68" s="203">
        <v>0</v>
      </c>
      <c r="AQ68" s="203">
        <v>0</v>
      </c>
      <c r="AR68" s="203">
        <v>0</v>
      </c>
      <c r="AS68" s="204">
        <v>0</v>
      </c>
      <c r="AT68" s="202">
        <v>23</v>
      </c>
      <c r="AU68" s="203">
        <v>2</v>
      </c>
      <c r="AV68" s="203">
        <v>0</v>
      </c>
      <c r="AW68" s="203">
        <v>12</v>
      </c>
      <c r="AX68" s="203">
        <v>3</v>
      </c>
      <c r="AY68" s="203">
        <v>0</v>
      </c>
      <c r="AZ68" s="203">
        <v>0</v>
      </c>
      <c r="BA68" s="203">
        <v>0</v>
      </c>
      <c r="BB68" s="204">
        <v>0</v>
      </c>
      <c r="BC68" s="76">
        <v>38</v>
      </c>
    </row>
    <row r="69" spans="1:55" ht="20.100000000000001" customHeight="1" x14ac:dyDescent="0.4">
      <c r="A69" s="188">
        <v>53</v>
      </c>
      <c r="B69" s="189" t="s">
        <v>170</v>
      </c>
      <c r="C69" s="189" t="s">
        <v>171</v>
      </c>
      <c r="D69" s="190"/>
      <c r="E69" s="13"/>
      <c r="F69" s="4"/>
      <c r="G69" s="4"/>
      <c r="H69" s="4"/>
      <c r="I69" s="4" t="s">
        <v>338</v>
      </c>
      <c r="J69" s="4" t="s">
        <v>338</v>
      </c>
      <c r="K69" s="4" t="s">
        <v>338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170"/>
      <c r="AK69" s="205">
        <v>0</v>
      </c>
      <c r="AL69" s="206">
        <v>0</v>
      </c>
      <c r="AM69" s="206">
        <v>0</v>
      </c>
      <c r="AN69" s="206">
        <v>0</v>
      </c>
      <c r="AO69" s="206">
        <v>0</v>
      </c>
      <c r="AP69" s="206">
        <v>3</v>
      </c>
      <c r="AQ69" s="206">
        <v>0</v>
      </c>
      <c r="AR69" s="206">
        <v>0</v>
      </c>
      <c r="AS69" s="207">
        <v>0</v>
      </c>
      <c r="AT69" s="205">
        <v>23</v>
      </c>
      <c r="AU69" s="206">
        <v>6</v>
      </c>
      <c r="AV69" s="206">
        <v>0</v>
      </c>
      <c r="AW69" s="206">
        <v>4</v>
      </c>
      <c r="AX69" s="206">
        <v>0</v>
      </c>
      <c r="AY69" s="206">
        <v>4</v>
      </c>
      <c r="AZ69" s="206">
        <v>7</v>
      </c>
      <c r="BA69" s="206">
        <v>1</v>
      </c>
      <c r="BB69" s="207">
        <v>0</v>
      </c>
      <c r="BC69" s="172">
        <v>34</v>
      </c>
    </row>
    <row r="70" spans="1:55" ht="20.100000000000001" customHeight="1" x14ac:dyDescent="0.4">
      <c r="A70" s="191">
        <v>73</v>
      </c>
      <c r="B70" s="192" t="s">
        <v>172</v>
      </c>
      <c r="C70" s="192" t="s">
        <v>173</v>
      </c>
      <c r="D70" s="193"/>
      <c r="E70" s="177"/>
      <c r="F70" s="178"/>
      <c r="G70" s="178"/>
      <c r="H70" s="178"/>
      <c r="I70" s="178" t="s">
        <v>338</v>
      </c>
      <c r="J70" s="178" t="s">
        <v>338</v>
      </c>
      <c r="K70" s="178" t="s">
        <v>338</v>
      </c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  <c r="AJ70" s="179"/>
      <c r="AK70" s="208">
        <v>0</v>
      </c>
      <c r="AL70" s="209">
        <v>0</v>
      </c>
      <c r="AM70" s="209">
        <v>0</v>
      </c>
      <c r="AN70" s="209">
        <v>0</v>
      </c>
      <c r="AO70" s="209">
        <v>0</v>
      </c>
      <c r="AP70" s="209">
        <v>3</v>
      </c>
      <c r="AQ70" s="209">
        <v>0</v>
      </c>
      <c r="AR70" s="209">
        <v>0</v>
      </c>
      <c r="AS70" s="210">
        <v>0</v>
      </c>
      <c r="AT70" s="208">
        <v>23</v>
      </c>
      <c r="AU70" s="209">
        <v>5</v>
      </c>
      <c r="AV70" s="209">
        <v>0</v>
      </c>
      <c r="AW70" s="209">
        <v>11</v>
      </c>
      <c r="AX70" s="209">
        <v>0</v>
      </c>
      <c r="AY70" s="209">
        <v>3</v>
      </c>
      <c r="AZ70" s="209">
        <v>7</v>
      </c>
      <c r="BA70" s="209">
        <v>1</v>
      </c>
      <c r="BB70" s="210">
        <v>0</v>
      </c>
      <c r="BC70" s="180">
        <v>35</v>
      </c>
    </row>
    <row r="71" spans="1:55" ht="20.100000000000001" customHeight="1" x14ac:dyDescent="0.4">
      <c r="A71" s="194">
        <v>60</v>
      </c>
      <c r="B71" s="195" t="s">
        <v>174</v>
      </c>
      <c r="C71" s="195" t="s">
        <v>175</v>
      </c>
      <c r="D71" s="196"/>
      <c r="E71" s="12"/>
      <c r="F71" s="2"/>
      <c r="G71" s="2"/>
      <c r="H71" s="2"/>
      <c r="I71" s="2"/>
      <c r="J71" s="2"/>
      <c r="K71" s="2" t="s">
        <v>336</v>
      </c>
      <c r="L71" s="2" t="s">
        <v>336</v>
      </c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168"/>
      <c r="AK71" s="199">
        <v>0</v>
      </c>
      <c r="AL71" s="200">
        <v>0</v>
      </c>
      <c r="AM71" s="200">
        <v>0</v>
      </c>
      <c r="AN71" s="200">
        <v>2</v>
      </c>
      <c r="AO71" s="200">
        <v>0</v>
      </c>
      <c r="AP71" s="200">
        <v>0</v>
      </c>
      <c r="AQ71" s="200">
        <v>0</v>
      </c>
      <c r="AR71" s="200">
        <v>0</v>
      </c>
      <c r="AS71" s="201">
        <v>0</v>
      </c>
      <c r="AT71" s="199">
        <v>23</v>
      </c>
      <c r="AU71" s="200">
        <v>5</v>
      </c>
      <c r="AV71" s="200">
        <v>0</v>
      </c>
      <c r="AW71" s="200">
        <v>8</v>
      </c>
      <c r="AX71" s="200">
        <v>0</v>
      </c>
      <c r="AY71" s="200">
        <v>3</v>
      </c>
      <c r="AZ71" s="200">
        <v>5</v>
      </c>
      <c r="BA71" s="200">
        <v>2</v>
      </c>
      <c r="BB71" s="201">
        <v>0</v>
      </c>
      <c r="BC71" s="171">
        <v>30</v>
      </c>
    </row>
    <row r="72" spans="1:55" ht="20.100000000000001" customHeight="1" x14ac:dyDescent="0.4">
      <c r="A72" s="185">
        <v>64</v>
      </c>
      <c r="B72" s="186" t="s">
        <v>176</v>
      </c>
      <c r="C72" s="186" t="s">
        <v>177</v>
      </c>
      <c r="D72" s="187"/>
      <c r="E72" s="9"/>
      <c r="F72" s="3"/>
      <c r="G72" s="3"/>
      <c r="H72" s="3"/>
      <c r="I72" s="3"/>
      <c r="J72" s="3"/>
      <c r="K72" s="3"/>
      <c r="L72" s="3"/>
      <c r="M72" s="3"/>
      <c r="N72" s="3" t="s">
        <v>32</v>
      </c>
      <c r="O72" s="3" t="s">
        <v>32</v>
      </c>
      <c r="P72" s="3" t="s">
        <v>336</v>
      </c>
      <c r="Q72" s="3" t="s">
        <v>336</v>
      </c>
      <c r="R72" s="3" t="s">
        <v>336</v>
      </c>
      <c r="S72" s="3" t="s">
        <v>336</v>
      </c>
      <c r="T72" s="3" t="s">
        <v>336</v>
      </c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 t="s">
        <v>32</v>
      </c>
      <c r="AJ72" s="169"/>
      <c r="AK72" s="202">
        <v>0</v>
      </c>
      <c r="AL72" s="203">
        <v>0</v>
      </c>
      <c r="AM72" s="203">
        <v>0</v>
      </c>
      <c r="AN72" s="203">
        <v>5</v>
      </c>
      <c r="AO72" s="203">
        <v>0</v>
      </c>
      <c r="AP72" s="203">
        <v>0</v>
      </c>
      <c r="AQ72" s="203">
        <v>0</v>
      </c>
      <c r="AR72" s="203">
        <v>0</v>
      </c>
      <c r="AS72" s="204">
        <v>0</v>
      </c>
      <c r="AT72" s="202">
        <v>23</v>
      </c>
      <c r="AU72" s="203">
        <v>6</v>
      </c>
      <c r="AV72" s="203">
        <v>1</v>
      </c>
      <c r="AW72" s="203">
        <v>5</v>
      </c>
      <c r="AX72" s="203">
        <v>0</v>
      </c>
      <c r="AY72" s="203">
        <v>1</v>
      </c>
      <c r="AZ72" s="203">
        <v>0</v>
      </c>
      <c r="BA72" s="203">
        <v>4</v>
      </c>
      <c r="BB72" s="204">
        <v>0</v>
      </c>
      <c r="BC72" s="76">
        <v>23.5</v>
      </c>
    </row>
    <row r="73" spans="1:55" ht="20.100000000000001" customHeight="1" x14ac:dyDescent="0.4">
      <c r="A73" s="185">
        <v>67</v>
      </c>
      <c r="B73" s="186" t="s">
        <v>178</v>
      </c>
      <c r="C73" s="186" t="s">
        <v>179</v>
      </c>
      <c r="D73" s="187"/>
      <c r="E73" s="9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169"/>
      <c r="AK73" s="202">
        <v>0</v>
      </c>
      <c r="AL73" s="203">
        <v>0</v>
      </c>
      <c r="AM73" s="203">
        <v>0</v>
      </c>
      <c r="AN73" s="203">
        <v>0</v>
      </c>
      <c r="AO73" s="203">
        <v>0</v>
      </c>
      <c r="AP73" s="203">
        <v>0</v>
      </c>
      <c r="AQ73" s="203">
        <v>0</v>
      </c>
      <c r="AR73" s="203">
        <v>0</v>
      </c>
      <c r="AS73" s="204">
        <v>0</v>
      </c>
      <c r="AT73" s="202">
        <v>23</v>
      </c>
      <c r="AU73" s="203">
        <v>7</v>
      </c>
      <c r="AV73" s="203">
        <v>0</v>
      </c>
      <c r="AW73" s="203">
        <v>12</v>
      </c>
      <c r="AX73" s="203">
        <v>0</v>
      </c>
      <c r="AY73" s="203">
        <v>0</v>
      </c>
      <c r="AZ73" s="203">
        <v>9</v>
      </c>
      <c r="BA73" s="203">
        <v>1</v>
      </c>
      <c r="BB73" s="204">
        <v>0</v>
      </c>
      <c r="BC73" s="76">
        <v>-4</v>
      </c>
    </row>
    <row r="74" spans="1:55" ht="20.100000000000001" customHeight="1" x14ac:dyDescent="0.4">
      <c r="A74" s="188">
        <v>68</v>
      </c>
      <c r="B74" s="189" t="s">
        <v>180</v>
      </c>
      <c r="C74" s="189" t="s">
        <v>181</v>
      </c>
      <c r="D74" s="190"/>
      <c r="E74" s="13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170"/>
      <c r="AK74" s="205">
        <v>0</v>
      </c>
      <c r="AL74" s="206">
        <v>0</v>
      </c>
      <c r="AM74" s="206">
        <v>0</v>
      </c>
      <c r="AN74" s="206">
        <v>0</v>
      </c>
      <c r="AO74" s="206">
        <v>0</v>
      </c>
      <c r="AP74" s="206">
        <v>0</v>
      </c>
      <c r="AQ74" s="206">
        <v>0</v>
      </c>
      <c r="AR74" s="206">
        <v>0</v>
      </c>
      <c r="AS74" s="207">
        <v>0</v>
      </c>
      <c r="AT74" s="205">
        <v>23</v>
      </c>
      <c r="AU74" s="206">
        <v>6</v>
      </c>
      <c r="AV74" s="206">
        <v>0</v>
      </c>
      <c r="AW74" s="206">
        <v>12</v>
      </c>
      <c r="AX74" s="206">
        <v>0</v>
      </c>
      <c r="AY74" s="206">
        <v>0</v>
      </c>
      <c r="AZ74" s="206">
        <v>10</v>
      </c>
      <c r="BA74" s="206">
        <v>0</v>
      </c>
      <c r="BB74" s="207">
        <v>0</v>
      </c>
      <c r="BC74" s="172">
        <v>24</v>
      </c>
    </row>
    <row r="75" spans="1:55" ht="20.100000000000001" customHeight="1" x14ac:dyDescent="0.4">
      <c r="A75" s="191">
        <v>75</v>
      </c>
      <c r="B75" s="192" t="s">
        <v>182</v>
      </c>
      <c r="C75" s="192" t="s">
        <v>183</v>
      </c>
      <c r="D75" s="193"/>
      <c r="E75" s="177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8"/>
      <c r="AJ75" s="179"/>
      <c r="AK75" s="208">
        <v>0</v>
      </c>
      <c r="AL75" s="209">
        <v>0</v>
      </c>
      <c r="AM75" s="209">
        <v>0</v>
      </c>
      <c r="AN75" s="209">
        <v>0</v>
      </c>
      <c r="AO75" s="209">
        <v>0</v>
      </c>
      <c r="AP75" s="209">
        <v>0</v>
      </c>
      <c r="AQ75" s="209">
        <v>0</v>
      </c>
      <c r="AR75" s="209">
        <v>0</v>
      </c>
      <c r="AS75" s="210">
        <v>0</v>
      </c>
      <c r="AT75" s="208">
        <v>23</v>
      </c>
      <c r="AU75" s="209">
        <v>3</v>
      </c>
      <c r="AV75" s="209">
        <v>0</v>
      </c>
      <c r="AW75" s="209">
        <v>3</v>
      </c>
      <c r="AX75" s="209">
        <v>0</v>
      </c>
      <c r="AY75" s="209">
        <v>0</v>
      </c>
      <c r="AZ75" s="209">
        <v>4</v>
      </c>
      <c r="BA75" s="209">
        <v>4</v>
      </c>
      <c r="BB75" s="210">
        <v>0</v>
      </c>
      <c r="BC75" s="180">
        <v>22</v>
      </c>
    </row>
    <row r="76" spans="1:55" ht="20.100000000000001" customHeight="1" x14ac:dyDescent="0.4">
      <c r="A76" s="194">
        <v>76</v>
      </c>
      <c r="B76" s="195" t="s">
        <v>184</v>
      </c>
      <c r="C76" s="195" t="s">
        <v>185</v>
      </c>
      <c r="D76" s="196"/>
      <c r="E76" s="1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 t="s">
        <v>125</v>
      </c>
      <c r="W76" s="2" t="s">
        <v>125</v>
      </c>
      <c r="X76" s="2" t="s">
        <v>125</v>
      </c>
      <c r="Y76" s="2" t="s">
        <v>125</v>
      </c>
      <c r="Z76" s="2" t="s">
        <v>125</v>
      </c>
      <c r="AA76" s="2" t="s">
        <v>125</v>
      </c>
      <c r="AB76" s="2" t="s">
        <v>125</v>
      </c>
      <c r="AC76" s="2" t="s">
        <v>125</v>
      </c>
      <c r="AD76" s="2"/>
      <c r="AE76" s="2"/>
      <c r="AF76" s="2"/>
      <c r="AG76" s="2"/>
      <c r="AH76" s="2"/>
      <c r="AI76" s="2"/>
      <c r="AJ76" s="168"/>
      <c r="AK76" s="199">
        <v>0</v>
      </c>
      <c r="AL76" s="200">
        <v>0</v>
      </c>
      <c r="AM76" s="200">
        <v>0</v>
      </c>
      <c r="AN76" s="200">
        <v>0</v>
      </c>
      <c r="AO76" s="200">
        <v>0</v>
      </c>
      <c r="AP76" s="200">
        <v>0</v>
      </c>
      <c r="AQ76" s="200">
        <v>0</v>
      </c>
      <c r="AR76" s="200">
        <v>0</v>
      </c>
      <c r="AS76" s="201">
        <v>0</v>
      </c>
      <c r="AT76" s="199">
        <v>23</v>
      </c>
      <c r="AU76" s="200">
        <v>3</v>
      </c>
      <c r="AV76" s="200">
        <v>0</v>
      </c>
      <c r="AW76" s="200">
        <v>10</v>
      </c>
      <c r="AX76" s="200">
        <v>0</v>
      </c>
      <c r="AY76" s="200">
        <v>0</v>
      </c>
      <c r="AZ76" s="200">
        <v>6</v>
      </c>
      <c r="BA76" s="200">
        <v>1</v>
      </c>
      <c r="BB76" s="201">
        <v>0</v>
      </c>
      <c r="BC76" s="171">
        <v>22</v>
      </c>
    </row>
    <row r="77" spans="1:55" ht="20.100000000000001" customHeight="1" x14ac:dyDescent="0.4">
      <c r="A77" s="185">
        <v>77</v>
      </c>
      <c r="B77" s="186" t="s">
        <v>186</v>
      </c>
      <c r="C77" s="186" t="s">
        <v>187</v>
      </c>
      <c r="D77" s="187"/>
      <c r="E77" s="9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169"/>
      <c r="AK77" s="202">
        <v>0</v>
      </c>
      <c r="AL77" s="203">
        <v>0</v>
      </c>
      <c r="AM77" s="203">
        <v>0</v>
      </c>
      <c r="AN77" s="203">
        <v>0</v>
      </c>
      <c r="AO77" s="203">
        <v>0</v>
      </c>
      <c r="AP77" s="203">
        <v>0</v>
      </c>
      <c r="AQ77" s="203">
        <v>0</v>
      </c>
      <c r="AR77" s="203">
        <v>0</v>
      </c>
      <c r="AS77" s="204">
        <v>0</v>
      </c>
      <c r="AT77" s="202">
        <v>19</v>
      </c>
      <c r="AU77" s="203">
        <v>5</v>
      </c>
      <c r="AV77" s="203">
        <v>0</v>
      </c>
      <c r="AW77" s="203">
        <v>11</v>
      </c>
      <c r="AX77" s="203">
        <v>10</v>
      </c>
      <c r="AY77" s="203">
        <v>0</v>
      </c>
      <c r="AZ77" s="203">
        <v>6</v>
      </c>
      <c r="BA77" s="203">
        <v>3</v>
      </c>
      <c r="BB77" s="204">
        <v>0</v>
      </c>
      <c r="BC77" s="76">
        <v>20</v>
      </c>
    </row>
    <row r="78" spans="1:55" ht="20.100000000000001" customHeight="1" x14ac:dyDescent="0.4">
      <c r="A78" s="185">
        <v>81</v>
      </c>
      <c r="B78" s="186" t="s">
        <v>188</v>
      </c>
      <c r="C78" s="186" t="s">
        <v>189</v>
      </c>
      <c r="D78" s="187"/>
      <c r="E78" s="9"/>
      <c r="F78" s="3"/>
      <c r="G78" s="3"/>
      <c r="H78" s="3"/>
      <c r="I78" s="3"/>
      <c r="J78" s="3"/>
      <c r="K78" s="3"/>
      <c r="L78" s="3"/>
      <c r="M78" s="3"/>
      <c r="N78" s="3"/>
      <c r="O78" s="3"/>
      <c r="P78" s="3" t="s">
        <v>338</v>
      </c>
      <c r="Q78" s="3" t="s">
        <v>338</v>
      </c>
      <c r="R78" s="3" t="s">
        <v>338</v>
      </c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169"/>
      <c r="AK78" s="202">
        <v>0</v>
      </c>
      <c r="AL78" s="203">
        <v>0</v>
      </c>
      <c r="AM78" s="203">
        <v>0</v>
      </c>
      <c r="AN78" s="203">
        <v>0</v>
      </c>
      <c r="AO78" s="203">
        <v>0</v>
      </c>
      <c r="AP78" s="203">
        <v>3</v>
      </c>
      <c r="AQ78" s="203">
        <v>0</v>
      </c>
      <c r="AR78" s="203">
        <v>0</v>
      </c>
      <c r="AS78" s="204">
        <v>0</v>
      </c>
      <c r="AT78" s="202">
        <v>23</v>
      </c>
      <c r="AU78" s="203">
        <v>4</v>
      </c>
      <c r="AV78" s="203">
        <v>0</v>
      </c>
      <c r="AW78" s="203">
        <v>10</v>
      </c>
      <c r="AX78" s="203">
        <v>0</v>
      </c>
      <c r="AY78" s="203">
        <v>4</v>
      </c>
      <c r="AZ78" s="203">
        <v>6</v>
      </c>
      <c r="BA78" s="203">
        <v>1</v>
      </c>
      <c r="BB78" s="204">
        <v>0</v>
      </c>
      <c r="BC78" s="76">
        <v>19</v>
      </c>
    </row>
    <row r="79" spans="1:55" ht="20.100000000000001" customHeight="1" x14ac:dyDescent="0.4">
      <c r="A79" s="248">
        <v>84</v>
      </c>
      <c r="B79" s="249" t="s">
        <v>190</v>
      </c>
      <c r="C79" s="249" t="s">
        <v>191</v>
      </c>
      <c r="D79" s="250"/>
      <c r="E79" s="13"/>
      <c r="F79" s="4"/>
      <c r="G79" s="4"/>
      <c r="H79" s="4"/>
      <c r="I79" s="4"/>
      <c r="J79" s="4"/>
      <c r="K79" s="4"/>
      <c r="L79" s="4"/>
      <c r="M79" s="4"/>
      <c r="N79" s="4"/>
      <c r="O79" s="4"/>
      <c r="P79" s="4" t="s">
        <v>338</v>
      </c>
      <c r="Q79" s="4" t="s">
        <v>338</v>
      </c>
      <c r="R79" s="4" t="s">
        <v>338</v>
      </c>
      <c r="S79" s="4"/>
      <c r="T79" s="4"/>
      <c r="U79" s="4"/>
      <c r="V79" s="4" t="s">
        <v>32</v>
      </c>
      <c r="W79" s="4" t="s">
        <v>32</v>
      </c>
      <c r="X79" s="4" t="s">
        <v>336</v>
      </c>
      <c r="Y79" s="4" t="s">
        <v>336</v>
      </c>
      <c r="Z79" s="4" t="s">
        <v>336</v>
      </c>
      <c r="AA79" s="4" t="s">
        <v>125</v>
      </c>
      <c r="AB79" s="4" t="s">
        <v>32</v>
      </c>
      <c r="AC79" s="4" t="s">
        <v>32</v>
      </c>
      <c r="AD79" s="4"/>
      <c r="AE79" s="4"/>
      <c r="AF79" s="4"/>
      <c r="AG79" s="4"/>
      <c r="AH79" s="4"/>
      <c r="AI79" s="4"/>
      <c r="AJ79" s="170"/>
      <c r="AK79" s="251">
        <v>0</v>
      </c>
      <c r="AL79" s="252">
        <v>0</v>
      </c>
      <c r="AM79" s="252">
        <v>0</v>
      </c>
      <c r="AN79" s="252">
        <v>3</v>
      </c>
      <c r="AO79" s="252">
        <v>0</v>
      </c>
      <c r="AP79" s="252">
        <v>3</v>
      </c>
      <c r="AQ79" s="252">
        <v>0</v>
      </c>
      <c r="AR79" s="252">
        <v>0</v>
      </c>
      <c r="AS79" s="253">
        <v>0</v>
      </c>
      <c r="AT79" s="251">
        <v>24</v>
      </c>
      <c r="AU79" s="252">
        <v>7</v>
      </c>
      <c r="AV79" s="252">
        <v>2</v>
      </c>
      <c r="AW79" s="252">
        <v>8</v>
      </c>
      <c r="AX79" s="252">
        <v>0</v>
      </c>
      <c r="AY79" s="252">
        <v>3</v>
      </c>
      <c r="AZ79" s="252">
        <v>5</v>
      </c>
      <c r="BA79" s="252">
        <v>1</v>
      </c>
      <c r="BB79" s="253">
        <v>0</v>
      </c>
      <c r="BC79" s="172">
        <v>15</v>
      </c>
    </row>
    <row r="80" spans="1:55" ht="20.100000000000001" customHeight="1" x14ac:dyDescent="0.4">
      <c r="A80" s="191">
        <v>92</v>
      </c>
      <c r="B80" s="192" t="s">
        <v>192</v>
      </c>
      <c r="C80" s="192" t="s">
        <v>193</v>
      </c>
      <c r="D80" s="193"/>
      <c r="E80" s="177" t="s">
        <v>338</v>
      </c>
      <c r="F80" s="178" t="s">
        <v>338</v>
      </c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 t="s">
        <v>125</v>
      </c>
      <c r="Z80" s="178" t="s">
        <v>125</v>
      </c>
      <c r="AA80" s="178" t="s">
        <v>125</v>
      </c>
      <c r="AB80" s="178"/>
      <c r="AC80" s="178"/>
      <c r="AD80" s="178"/>
      <c r="AE80" s="178"/>
      <c r="AF80" s="178"/>
      <c r="AG80" s="178"/>
      <c r="AH80" s="178"/>
      <c r="AI80" s="178"/>
      <c r="AJ80" s="179"/>
      <c r="AK80" s="208">
        <v>0</v>
      </c>
      <c r="AL80" s="209">
        <v>0</v>
      </c>
      <c r="AM80" s="209">
        <v>0</v>
      </c>
      <c r="AN80" s="209">
        <v>0</v>
      </c>
      <c r="AO80" s="209">
        <v>0</v>
      </c>
      <c r="AP80" s="209">
        <v>1</v>
      </c>
      <c r="AQ80" s="209">
        <v>0</v>
      </c>
      <c r="AR80" s="209">
        <v>0</v>
      </c>
      <c r="AS80" s="210">
        <v>0</v>
      </c>
      <c r="AT80" s="208">
        <v>23</v>
      </c>
      <c r="AU80" s="209">
        <v>2</v>
      </c>
      <c r="AV80" s="209">
        <v>0</v>
      </c>
      <c r="AW80" s="209">
        <v>5</v>
      </c>
      <c r="AX80" s="209">
        <v>0</v>
      </c>
      <c r="AY80" s="209">
        <v>6</v>
      </c>
      <c r="AZ80" s="209">
        <v>7</v>
      </c>
      <c r="BA80" s="209">
        <v>1</v>
      </c>
      <c r="BB80" s="210">
        <v>0</v>
      </c>
      <c r="BC80" s="180">
        <v>8</v>
      </c>
    </row>
    <row r="81" spans="1:55" ht="20.100000000000001" customHeight="1" x14ac:dyDescent="0.4">
      <c r="A81" s="194">
        <v>71</v>
      </c>
      <c r="B81" s="195" t="s">
        <v>194</v>
      </c>
      <c r="C81" s="195" t="s">
        <v>195</v>
      </c>
      <c r="D81" s="196"/>
      <c r="E81" s="1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168"/>
      <c r="AK81" s="199">
        <v>0</v>
      </c>
      <c r="AL81" s="200">
        <v>0</v>
      </c>
      <c r="AM81" s="200">
        <v>0</v>
      </c>
      <c r="AN81" s="200">
        <v>0</v>
      </c>
      <c r="AO81" s="200">
        <v>0</v>
      </c>
      <c r="AP81" s="200">
        <v>0</v>
      </c>
      <c r="AQ81" s="200">
        <v>0</v>
      </c>
      <c r="AR81" s="200">
        <v>0</v>
      </c>
      <c r="AS81" s="201">
        <v>0</v>
      </c>
      <c r="AT81" s="199">
        <v>8</v>
      </c>
      <c r="AU81" s="200">
        <v>0</v>
      </c>
      <c r="AV81" s="200">
        <v>0</v>
      </c>
      <c r="AW81" s="200">
        <v>4</v>
      </c>
      <c r="AX81" s="200">
        <v>0</v>
      </c>
      <c r="AY81" s="200">
        <v>0</v>
      </c>
      <c r="AZ81" s="200">
        <v>0</v>
      </c>
      <c r="BA81" s="200">
        <v>0</v>
      </c>
      <c r="BB81" s="201">
        <v>0</v>
      </c>
      <c r="BC81" s="171">
        <v>5</v>
      </c>
    </row>
    <row r="82" spans="1:55" ht="20.100000000000001" customHeight="1" thickBot="1" x14ac:dyDescent="0.45">
      <c r="A82" s="197">
        <v>2</v>
      </c>
      <c r="B82" s="198" t="s">
        <v>196</v>
      </c>
      <c r="C82" s="189" t="s">
        <v>197</v>
      </c>
      <c r="D82" s="190"/>
      <c r="E82" s="13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170"/>
      <c r="AK82" s="211">
        <v>0</v>
      </c>
      <c r="AL82" s="212">
        <v>0</v>
      </c>
      <c r="AM82" s="212">
        <v>0</v>
      </c>
      <c r="AN82" s="212">
        <v>0</v>
      </c>
      <c r="AO82" s="212">
        <v>0</v>
      </c>
      <c r="AP82" s="212">
        <v>0</v>
      </c>
      <c r="AQ82" s="212">
        <v>0</v>
      </c>
      <c r="AR82" s="212">
        <v>0</v>
      </c>
      <c r="AS82" s="213">
        <v>0</v>
      </c>
      <c r="AT82" s="211">
        <v>23</v>
      </c>
      <c r="AU82" s="212">
        <v>2</v>
      </c>
      <c r="AV82" s="212">
        <v>2</v>
      </c>
      <c r="AW82" s="212">
        <v>10</v>
      </c>
      <c r="AX82" s="212">
        <v>0</v>
      </c>
      <c r="AY82" s="212">
        <v>0</v>
      </c>
      <c r="AZ82" s="212">
        <v>0</v>
      </c>
      <c r="BA82" s="212">
        <v>0</v>
      </c>
      <c r="BB82" s="213">
        <v>0</v>
      </c>
      <c r="BC82" s="77">
        <v>2</v>
      </c>
    </row>
    <row r="83" spans="1:55" ht="20.100000000000001" customHeight="1" x14ac:dyDescent="0.4">
      <c r="C83" s="230" t="s">
        <v>11</v>
      </c>
      <c r="D83" s="237"/>
      <c r="E83" s="245" t="s">
        <v>348</v>
      </c>
      <c r="F83" s="174" t="s">
        <v>348</v>
      </c>
      <c r="G83" s="174" t="s">
        <v>348</v>
      </c>
      <c r="H83" s="174" t="s">
        <v>348</v>
      </c>
      <c r="I83" s="174" t="s">
        <v>348</v>
      </c>
      <c r="J83" s="174" t="s">
        <v>348</v>
      </c>
      <c r="K83" s="174" t="s">
        <v>348</v>
      </c>
      <c r="L83" s="174" t="s">
        <v>348</v>
      </c>
      <c r="M83" s="174" t="s">
        <v>348</v>
      </c>
      <c r="N83" s="174" t="s">
        <v>348</v>
      </c>
      <c r="O83" s="174" t="s">
        <v>348</v>
      </c>
      <c r="P83" s="174" t="s">
        <v>348</v>
      </c>
      <c r="Q83" s="174" t="s">
        <v>348</v>
      </c>
      <c r="R83" s="174" t="s">
        <v>348</v>
      </c>
      <c r="S83" s="174" t="s">
        <v>348</v>
      </c>
      <c r="T83" s="174" t="s">
        <v>348</v>
      </c>
      <c r="U83" s="174" t="s">
        <v>348</v>
      </c>
      <c r="V83" s="174" t="s">
        <v>348</v>
      </c>
      <c r="W83" s="174" t="s">
        <v>348</v>
      </c>
      <c r="X83" s="174" t="s">
        <v>348</v>
      </c>
      <c r="Y83" s="174" t="s">
        <v>348</v>
      </c>
      <c r="Z83" s="174" t="s">
        <v>348</v>
      </c>
      <c r="AA83" s="174" t="s">
        <v>348</v>
      </c>
      <c r="AB83" s="174" t="s">
        <v>348</v>
      </c>
      <c r="AC83" s="174" t="s">
        <v>348</v>
      </c>
      <c r="AD83" s="174" t="s">
        <v>348</v>
      </c>
      <c r="AE83" s="174" t="s">
        <v>348</v>
      </c>
      <c r="AF83" s="174" t="s">
        <v>348</v>
      </c>
      <c r="AG83" s="174" t="s">
        <v>348</v>
      </c>
      <c r="AH83" s="174" t="s">
        <v>348</v>
      </c>
      <c r="AI83" s="174" t="s">
        <v>348</v>
      </c>
      <c r="AJ83" s="181" t="s">
        <v>348</v>
      </c>
    </row>
    <row r="84" spans="1:55" ht="20.100000000000001" customHeight="1" x14ac:dyDescent="0.4">
      <c r="C84" s="233" t="s">
        <v>12</v>
      </c>
      <c r="D84" s="234"/>
      <c r="E84" s="173" t="s">
        <v>348</v>
      </c>
      <c r="F84" s="175" t="s">
        <v>348</v>
      </c>
      <c r="G84" s="175" t="s">
        <v>348</v>
      </c>
      <c r="H84" s="175" t="s">
        <v>348</v>
      </c>
      <c r="I84" s="175" t="s">
        <v>348</v>
      </c>
      <c r="J84" s="175" t="s">
        <v>348</v>
      </c>
      <c r="K84" s="175" t="s">
        <v>348</v>
      </c>
      <c r="L84" s="175" t="s">
        <v>348</v>
      </c>
      <c r="M84" s="175" t="s">
        <v>348</v>
      </c>
      <c r="N84" s="175" t="s">
        <v>348</v>
      </c>
      <c r="O84" s="175" t="s">
        <v>348</v>
      </c>
      <c r="P84" s="175" t="s">
        <v>348</v>
      </c>
      <c r="Q84" s="175" t="s">
        <v>348</v>
      </c>
      <c r="R84" s="175" t="s">
        <v>348</v>
      </c>
      <c r="S84" s="175" t="s">
        <v>348</v>
      </c>
      <c r="T84" s="175" t="s">
        <v>348</v>
      </c>
      <c r="U84" s="175" t="s">
        <v>348</v>
      </c>
      <c r="V84" s="175" t="s">
        <v>348</v>
      </c>
      <c r="W84" s="175" t="s">
        <v>348</v>
      </c>
      <c r="X84" s="175" t="s">
        <v>348</v>
      </c>
      <c r="Y84" s="175" t="s">
        <v>348</v>
      </c>
      <c r="Z84" s="175" t="s">
        <v>348</v>
      </c>
      <c r="AA84" s="175" t="s">
        <v>348</v>
      </c>
      <c r="AB84" s="175" t="s">
        <v>348</v>
      </c>
      <c r="AC84" s="175" t="s">
        <v>348</v>
      </c>
      <c r="AD84" s="175" t="s">
        <v>348</v>
      </c>
      <c r="AE84" s="175" t="s">
        <v>348</v>
      </c>
      <c r="AF84" s="175" t="s">
        <v>348</v>
      </c>
      <c r="AG84" s="175" t="s">
        <v>348</v>
      </c>
      <c r="AH84" s="175" t="s">
        <v>348</v>
      </c>
      <c r="AI84" s="175" t="s">
        <v>348</v>
      </c>
      <c r="AJ84" s="176" t="s">
        <v>348</v>
      </c>
    </row>
    <row r="85" spans="1:55" ht="20.100000000000001" customHeight="1" x14ac:dyDescent="0.4">
      <c r="C85" s="233" t="s">
        <v>13</v>
      </c>
      <c r="D85" s="234"/>
      <c r="E85" s="173" t="s">
        <v>348</v>
      </c>
      <c r="F85" s="175" t="s">
        <v>348</v>
      </c>
      <c r="G85" s="175" t="s">
        <v>348</v>
      </c>
      <c r="H85" s="175" t="s">
        <v>348</v>
      </c>
      <c r="I85" s="175" t="s">
        <v>348</v>
      </c>
      <c r="J85" s="175" t="s">
        <v>348</v>
      </c>
      <c r="K85" s="175" t="s">
        <v>348</v>
      </c>
      <c r="L85" s="175" t="s">
        <v>348</v>
      </c>
      <c r="M85" s="175" t="s">
        <v>348</v>
      </c>
      <c r="N85" s="175" t="s">
        <v>348</v>
      </c>
      <c r="O85" s="175" t="s">
        <v>348</v>
      </c>
      <c r="P85" s="175" t="s">
        <v>348</v>
      </c>
      <c r="Q85" s="175" t="s">
        <v>348</v>
      </c>
      <c r="R85" s="175" t="s">
        <v>348</v>
      </c>
      <c r="S85" s="175" t="s">
        <v>348</v>
      </c>
      <c r="T85" s="175" t="s">
        <v>348</v>
      </c>
      <c r="U85" s="175" t="s">
        <v>348</v>
      </c>
      <c r="V85" s="175" t="s">
        <v>348</v>
      </c>
      <c r="W85" s="175" t="s">
        <v>348</v>
      </c>
      <c r="X85" s="175" t="s">
        <v>348</v>
      </c>
      <c r="Y85" s="175" t="s">
        <v>348</v>
      </c>
      <c r="Z85" s="175" t="s">
        <v>348</v>
      </c>
      <c r="AA85" s="175" t="s">
        <v>348</v>
      </c>
      <c r="AB85" s="175" t="s">
        <v>348</v>
      </c>
      <c r="AC85" s="175" t="s">
        <v>348</v>
      </c>
      <c r="AD85" s="175" t="s">
        <v>348</v>
      </c>
      <c r="AE85" s="175" t="s">
        <v>348</v>
      </c>
      <c r="AF85" s="175" t="s">
        <v>348</v>
      </c>
      <c r="AG85" s="175" t="s">
        <v>348</v>
      </c>
      <c r="AH85" s="175" t="s">
        <v>348</v>
      </c>
      <c r="AI85" s="175" t="s">
        <v>348</v>
      </c>
      <c r="AJ85" s="176" t="s">
        <v>348</v>
      </c>
    </row>
    <row r="86" spans="1:55" ht="20.100000000000001" customHeight="1" x14ac:dyDescent="0.4">
      <c r="C86" s="233" t="s">
        <v>14</v>
      </c>
      <c r="D86" s="234"/>
      <c r="E86" s="173" t="s">
        <v>348</v>
      </c>
      <c r="F86" s="175" t="s">
        <v>348</v>
      </c>
      <c r="G86" s="175" t="s">
        <v>348</v>
      </c>
      <c r="H86" s="175" t="s">
        <v>348</v>
      </c>
      <c r="I86" s="175" t="s">
        <v>348</v>
      </c>
      <c r="J86" s="175" t="s">
        <v>348</v>
      </c>
      <c r="K86" s="175" t="s">
        <v>348</v>
      </c>
      <c r="L86" s="175" t="s">
        <v>348</v>
      </c>
      <c r="M86" s="175" t="s">
        <v>348</v>
      </c>
      <c r="N86" s="175" t="s">
        <v>348</v>
      </c>
      <c r="O86" s="175" t="s">
        <v>348</v>
      </c>
      <c r="P86" s="175" t="s">
        <v>348</v>
      </c>
      <c r="Q86" s="175" t="s">
        <v>348</v>
      </c>
      <c r="R86" s="175" t="s">
        <v>348</v>
      </c>
      <c r="S86" s="175" t="s">
        <v>348</v>
      </c>
      <c r="T86" s="175" t="s">
        <v>348</v>
      </c>
      <c r="U86" s="175" t="s">
        <v>348</v>
      </c>
      <c r="V86" s="175" t="s">
        <v>348</v>
      </c>
      <c r="W86" s="175" t="s">
        <v>348</v>
      </c>
      <c r="X86" s="175" t="s">
        <v>348</v>
      </c>
      <c r="Y86" s="175" t="s">
        <v>348</v>
      </c>
      <c r="Z86" s="175" t="s">
        <v>348</v>
      </c>
      <c r="AA86" s="175" t="s">
        <v>348</v>
      </c>
      <c r="AB86" s="175" t="s">
        <v>348</v>
      </c>
      <c r="AC86" s="175" t="s">
        <v>348</v>
      </c>
      <c r="AD86" s="175" t="s">
        <v>348</v>
      </c>
      <c r="AE86" s="175" t="s">
        <v>348</v>
      </c>
      <c r="AF86" s="175" t="s">
        <v>348</v>
      </c>
      <c r="AG86" s="175" t="s">
        <v>348</v>
      </c>
      <c r="AH86" s="175" t="s">
        <v>348</v>
      </c>
      <c r="AI86" s="175" t="s">
        <v>348</v>
      </c>
      <c r="AJ86" s="176" t="s">
        <v>348</v>
      </c>
    </row>
    <row r="87" spans="1:55" ht="20.100000000000001" customHeight="1" x14ac:dyDescent="0.4">
      <c r="C87" s="233" t="s">
        <v>15</v>
      </c>
      <c r="D87" s="234"/>
      <c r="E87" s="173" t="s">
        <v>348</v>
      </c>
      <c r="F87" s="175" t="s">
        <v>348</v>
      </c>
      <c r="G87" s="175" t="s">
        <v>348</v>
      </c>
      <c r="H87" s="175" t="s">
        <v>348</v>
      </c>
      <c r="I87" s="175" t="s">
        <v>348</v>
      </c>
      <c r="J87" s="175" t="s">
        <v>348</v>
      </c>
      <c r="K87" s="175" t="s">
        <v>348</v>
      </c>
      <c r="L87" s="175" t="s">
        <v>348</v>
      </c>
      <c r="M87" s="175" t="s">
        <v>348</v>
      </c>
      <c r="N87" s="175" t="s">
        <v>348</v>
      </c>
      <c r="O87" s="175" t="s">
        <v>348</v>
      </c>
      <c r="P87" s="175" t="s">
        <v>348</v>
      </c>
      <c r="Q87" s="175" t="s">
        <v>348</v>
      </c>
      <c r="R87" s="175" t="s">
        <v>348</v>
      </c>
      <c r="S87" s="175" t="s">
        <v>348</v>
      </c>
      <c r="T87" s="175" t="s">
        <v>348</v>
      </c>
      <c r="U87" s="175" t="s">
        <v>348</v>
      </c>
      <c r="V87" s="175" t="s">
        <v>348</v>
      </c>
      <c r="W87" s="175" t="s">
        <v>348</v>
      </c>
      <c r="X87" s="175" t="s">
        <v>348</v>
      </c>
      <c r="Y87" s="175" t="s">
        <v>348</v>
      </c>
      <c r="Z87" s="175" t="s">
        <v>348</v>
      </c>
      <c r="AA87" s="175" t="s">
        <v>348</v>
      </c>
      <c r="AB87" s="175" t="s">
        <v>348</v>
      </c>
      <c r="AC87" s="175" t="s">
        <v>348</v>
      </c>
      <c r="AD87" s="175" t="s">
        <v>348</v>
      </c>
      <c r="AE87" s="175" t="s">
        <v>348</v>
      </c>
      <c r="AF87" s="175" t="s">
        <v>348</v>
      </c>
      <c r="AG87" s="175" t="s">
        <v>348</v>
      </c>
      <c r="AH87" s="175" t="s">
        <v>348</v>
      </c>
      <c r="AI87" s="175" t="s">
        <v>348</v>
      </c>
      <c r="AJ87" s="176" t="s">
        <v>348</v>
      </c>
    </row>
    <row r="88" spans="1:55" ht="20.100000000000001" customHeight="1" x14ac:dyDescent="0.4">
      <c r="C88" s="233" t="s">
        <v>16</v>
      </c>
      <c r="D88" s="234"/>
      <c r="E88" s="173" t="s">
        <v>348</v>
      </c>
      <c r="F88" s="175" t="s">
        <v>348</v>
      </c>
      <c r="G88" s="175" t="s">
        <v>348</v>
      </c>
      <c r="H88" s="175" t="s">
        <v>348</v>
      </c>
      <c r="I88" s="175" t="s">
        <v>348</v>
      </c>
      <c r="J88" s="175" t="s">
        <v>348</v>
      </c>
      <c r="K88" s="175" t="s">
        <v>348</v>
      </c>
      <c r="L88" s="175" t="s">
        <v>348</v>
      </c>
      <c r="M88" s="175" t="s">
        <v>348</v>
      </c>
      <c r="N88" s="175" t="s">
        <v>348</v>
      </c>
      <c r="O88" s="175" t="s">
        <v>348</v>
      </c>
      <c r="P88" s="175" t="s">
        <v>348</v>
      </c>
      <c r="Q88" s="175" t="s">
        <v>348</v>
      </c>
      <c r="R88" s="175" t="s">
        <v>348</v>
      </c>
      <c r="S88" s="175" t="s">
        <v>348</v>
      </c>
      <c r="T88" s="175" t="s">
        <v>348</v>
      </c>
      <c r="U88" s="175" t="s">
        <v>348</v>
      </c>
      <c r="V88" s="175" t="s">
        <v>348</v>
      </c>
      <c r="W88" s="175" t="s">
        <v>348</v>
      </c>
      <c r="X88" s="175" t="s">
        <v>348</v>
      </c>
      <c r="Y88" s="175" t="s">
        <v>348</v>
      </c>
      <c r="Z88" s="175" t="s">
        <v>348</v>
      </c>
      <c r="AA88" s="175" t="s">
        <v>348</v>
      </c>
      <c r="AB88" s="175" t="s">
        <v>348</v>
      </c>
      <c r="AC88" s="175" t="s">
        <v>348</v>
      </c>
      <c r="AD88" s="175" t="s">
        <v>348</v>
      </c>
      <c r="AE88" s="175" t="s">
        <v>348</v>
      </c>
      <c r="AF88" s="175" t="s">
        <v>348</v>
      </c>
      <c r="AG88" s="175" t="s">
        <v>348</v>
      </c>
      <c r="AH88" s="175" t="s">
        <v>348</v>
      </c>
      <c r="AI88" s="175" t="s">
        <v>348</v>
      </c>
      <c r="AJ88" s="176" t="s">
        <v>348</v>
      </c>
    </row>
    <row r="89" spans="1:55" ht="20.100000000000001" customHeight="1" x14ac:dyDescent="0.4">
      <c r="C89" s="233" t="s">
        <v>17</v>
      </c>
      <c r="D89" s="234"/>
      <c r="E89" s="173" t="s">
        <v>348</v>
      </c>
      <c r="F89" s="175" t="s">
        <v>348</v>
      </c>
      <c r="G89" s="175" t="s">
        <v>348</v>
      </c>
      <c r="H89" s="175" t="s">
        <v>348</v>
      </c>
      <c r="I89" s="175" t="s">
        <v>348</v>
      </c>
      <c r="J89" s="175" t="s">
        <v>348</v>
      </c>
      <c r="K89" s="175" t="s">
        <v>348</v>
      </c>
      <c r="L89" s="175" t="s">
        <v>348</v>
      </c>
      <c r="M89" s="175" t="s">
        <v>348</v>
      </c>
      <c r="N89" s="175" t="s">
        <v>348</v>
      </c>
      <c r="O89" s="175" t="s">
        <v>348</v>
      </c>
      <c r="P89" s="175" t="s">
        <v>348</v>
      </c>
      <c r="Q89" s="175" t="s">
        <v>348</v>
      </c>
      <c r="R89" s="175" t="s">
        <v>348</v>
      </c>
      <c r="S89" s="175" t="s">
        <v>348</v>
      </c>
      <c r="T89" s="175" t="s">
        <v>348</v>
      </c>
      <c r="U89" s="175" t="s">
        <v>348</v>
      </c>
      <c r="V89" s="175" t="s">
        <v>348</v>
      </c>
      <c r="W89" s="175" t="s">
        <v>348</v>
      </c>
      <c r="X89" s="175" t="s">
        <v>348</v>
      </c>
      <c r="Y89" s="175" t="s">
        <v>348</v>
      </c>
      <c r="Z89" s="175" t="s">
        <v>348</v>
      </c>
      <c r="AA89" s="175" t="s">
        <v>348</v>
      </c>
      <c r="AB89" s="175" t="s">
        <v>348</v>
      </c>
      <c r="AC89" s="175" t="s">
        <v>348</v>
      </c>
      <c r="AD89" s="175" t="s">
        <v>348</v>
      </c>
      <c r="AE89" s="175" t="s">
        <v>348</v>
      </c>
      <c r="AF89" s="175" t="s">
        <v>348</v>
      </c>
      <c r="AG89" s="175" t="s">
        <v>348</v>
      </c>
      <c r="AH89" s="175" t="s">
        <v>348</v>
      </c>
      <c r="AI89" s="175" t="s">
        <v>348</v>
      </c>
      <c r="AJ89" s="176" t="s">
        <v>348</v>
      </c>
    </row>
    <row r="90" spans="1:55" ht="20.100000000000001" customHeight="1" x14ac:dyDescent="0.4">
      <c r="C90" s="233" t="s">
        <v>18</v>
      </c>
      <c r="D90" s="234"/>
      <c r="E90" s="173" t="s">
        <v>348</v>
      </c>
      <c r="F90" s="175" t="s">
        <v>348</v>
      </c>
      <c r="G90" s="175" t="s">
        <v>348</v>
      </c>
      <c r="H90" s="175" t="s">
        <v>348</v>
      </c>
      <c r="I90" s="175" t="s">
        <v>348</v>
      </c>
      <c r="J90" s="175" t="s">
        <v>348</v>
      </c>
      <c r="K90" s="175" t="s">
        <v>348</v>
      </c>
      <c r="L90" s="175" t="s">
        <v>348</v>
      </c>
      <c r="M90" s="175" t="s">
        <v>348</v>
      </c>
      <c r="N90" s="175" t="s">
        <v>348</v>
      </c>
      <c r="O90" s="175" t="s">
        <v>348</v>
      </c>
      <c r="P90" s="175" t="s">
        <v>348</v>
      </c>
      <c r="Q90" s="175" t="s">
        <v>348</v>
      </c>
      <c r="R90" s="175" t="s">
        <v>348</v>
      </c>
      <c r="S90" s="175" t="s">
        <v>348</v>
      </c>
      <c r="T90" s="175" t="s">
        <v>348</v>
      </c>
      <c r="U90" s="175" t="s">
        <v>348</v>
      </c>
      <c r="V90" s="175" t="s">
        <v>348</v>
      </c>
      <c r="W90" s="175" t="s">
        <v>348</v>
      </c>
      <c r="X90" s="175" t="s">
        <v>348</v>
      </c>
      <c r="Y90" s="175" t="s">
        <v>348</v>
      </c>
      <c r="Z90" s="175" t="s">
        <v>348</v>
      </c>
      <c r="AA90" s="175" t="s">
        <v>348</v>
      </c>
      <c r="AB90" s="175" t="s">
        <v>348</v>
      </c>
      <c r="AC90" s="175" t="s">
        <v>348</v>
      </c>
      <c r="AD90" s="175" t="s">
        <v>348</v>
      </c>
      <c r="AE90" s="175" t="s">
        <v>348</v>
      </c>
      <c r="AF90" s="175" t="s">
        <v>348</v>
      </c>
      <c r="AG90" s="175" t="s">
        <v>348</v>
      </c>
      <c r="AH90" s="175" t="s">
        <v>348</v>
      </c>
      <c r="AI90" s="175" t="s">
        <v>348</v>
      </c>
      <c r="AJ90" s="176" t="s">
        <v>348</v>
      </c>
    </row>
    <row r="91" spans="1:55" ht="20.100000000000001" customHeight="1" x14ac:dyDescent="0.4">
      <c r="C91" s="233" t="s">
        <v>19</v>
      </c>
      <c r="D91" s="234"/>
      <c r="E91" s="173" t="s">
        <v>348</v>
      </c>
      <c r="F91" s="175" t="s">
        <v>348</v>
      </c>
      <c r="G91" s="175" t="s">
        <v>348</v>
      </c>
      <c r="H91" s="175" t="s">
        <v>348</v>
      </c>
      <c r="I91" s="175" t="s">
        <v>348</v>
      </c>
      <c r="J91" s="175" t="s">
        <v>348</v>
      </c>
      <c r="K91" s="175" t="s">
        <v>348</v>
      </c>
      <c r="L91" s="175" t="s">
        <v>348</v>
      </c>
      <c r="M91" s="175" t="s">
        <v>348</v>
      </c>
      <c r="N91" s="175" t="s">
        <v>348</v>
      </c>
      <c r="O91" s="175" t="s">
        <v>348</v>
      </c>
      <c r="P91" s="175" t="s">
        <v>348</v>
      </c>
      <c r="Q91" s="175" t="s">
        <v>348</v>
      </c>
      <c r="R91" s="175" t="s">
        <v>348</v>
      </c>
      <c r="S91" s="175" t="s">
        <v>348</v>
      </c>
      <c r="T91" s="175" t="s">
        <v>348</v>
      </c>
      <c r="U91" s="175" t="s">
        <v>348</v>
      </c>
      <c r="V91" s="175" t="s">
        <v>348</v>
      </c>
      <c r="W91" s="175" t="s">
        <v>348</v>
      </c>
      <c r="X91" s="175" t="s">
        <v>348</v>
      </c>
      <c r="Y91" s="175" t="s">
        <v>348</v>
      </c>
      <c r="Z91" s="175" t="s">
        <v>348</v>
      </c>
      <c r="AA91" s="175" t="s">
        <v>348</v>
      </c>
      <c r="AB91" s="175" t="s">
        <v>348</v>
      </c>
      <c r="AC91" s="175" t="s">
        <v>348</v>
      </c>
      <c r="AD91" s="175" t="s">
        <v>348</v>
      </c>
      <c r="AE91" s="175" t="s">
        <v>348</v>
      </c>
      <c r="AF91" s="175" t="s">
        <v>348</v>
      </c>
      <c r="AG91" s="175" t="s">
        <v>348</v>
      </c>
      <c r="AH91" s="175" t="s">
        <v>348</v>
      </c>
      <c r="AI91" s="175" t="s">
        <v>348</v>
      </c>
      <c r="AJ91" s="176" t="s">
        <v>348</v>
      </c>
    </row>
    <row r="92" spans="1:55" ht="20.100000000000001" customHeight="1" x14ac:dyDescent="0.4">
      <c r="C92" s="233" t="s">
        <v>20</v>
      </c>
      <c r="D92" s="234"/>
      <c r="E92" s="173" t="s">
        <v>348</v>
      </c>
      <c r="F92" s="175" t="s">
        <v>348</v>
      </c>
      <c r="G92" s="227" t="s">
        <v>354</v>
      </c>
      <c r="H92" s="175" t="s">
        <v>348</v>
      </c>
      <c r="I92" s="175" t="s">
        <v>348</v>
      </c>
      <c r="J92" s="175" t="s">
        <v>348</v>
      </c>
      <c r="K92" s="175" t="s">
        <v>348</v>
      </c>
      <c r="L92" s="175" t="s">
        <v>348</v>
      </c>
      <c r="M92" s="175" t="s">
        <v>348</v>
      </c>
      <c r="N92" s="175" t="s">
        <v>348</v>
      </c>
      <c r="O92" s="175" t="s">
        <v>348</v>
      </c>
      <c r="P92" s="175" t="s">
        <v>348</v>
      </c>
      <c r="Q92" s="175" t="s">
        <v>348</v>
      </c>
      <c r="R92" s="175" t="s">
        <v>348</v>
      </c>
      <c r="S92" s="175" t="s">
        <v>348</v>
      </c>
      <c r="T92" s="175" t="s">
        <v>348</v>
      </c>
      <c r="U92" s="227" t="s">
        <v>354</v>
      </c>
      <c r="V92" s="175" t="s">
        <v>348</v>
      </c>
      <c r="W92" s="175" t="s">
        <v>348</v>
      </c>
      <c r="X92" s="175" t="s">
        <v>348</v>
      </c>
      <c r="Y92" s="175" t="s">
        <v>348</v>
      </c>
      <c r="Z92" s="175" t="s">
        <v>348</v>
      </c>
      <c r="AA92" s="175" t="s">
        <v>348</v>
      </c>
      <c r="AB92" s="175" t="s">
        <v>348</v>
      </c>
      <c r="AC92" s="175" t="s">
        <v>348</v>
      </c>
      <c r="AD92" s="175" t="s">
        <v>348</v>
      </c>
      <c r="AE92" s="175" t="s">
        <v>348</v>
      </c>
      <c r="AF92" s="175" t="s">
        <v>348</v>
      </c>
      <c r="AG92" s="175" t="s">
        <v>348</v>
      </c>
      <c r="AH92" s="175" t="s">
        <v>348</v>
      </c>
      <c r="AI92" s="227" t="s">
        <v>355</v>
      </c>
      <c r="AJ92" s="176" t="s">
        <v>348</v>
      </c>
    </row>
    <row r="93" spans="1:55" ht="20.100000000000001" customHeight="1" x14ac:dyDescent="0.4">
      <c r="C93" s="233" t="s">
        <v>21</v>
      </c>
      <c r="D93" s="234"/>
      <c r="E93" s="173" t="s">
        <v>348</v>
      </c>
      <c r="F93" s="175" t="s">
        <v>348</v>
      </c>
      <c r="G93" s="175" t="s">
        <v>348</v>
      </c>
      <c r="H93" s="175" t="s">
        <v>348</v>
      </c>
      <c r="I93" s="175" t="s">
        <v>348</v>
      </c>
      <c r="J93" s="175" t="s">
        <v>348</v>
      </c>
      <c r="K93" s="175" t="s">
        <v>348</v>
      </c>
      <c r="L93" s="175" t="s">
        <v>348</v>
      </c>
      <c r="M93" s="175" t="s">
        <v>348</v>
      </c>
      <c r="N93" s="175" t="s">
        <v>348</v>
      </c>
      <c r="O93" s="175" t="s">
        <v>348</v>
      </c>
      <c r="P93" s="175" t="s">
        <v>348</v>
      </c>
      <c r="Q93" s="175" t="s">
        <v>348</v>
      </c>
      <c r="R93" s="175" t="s">
        <v>348</v>
      </c>
      <c r="S93" s="175" t="s">
        <v>348</v>
      </c>
      <c r="T93" s="175" t="s">
        <v>348</v>
      </c>
      <c r="U93" s="175" t="s">
        <v>348</v>
      </c>
      <c r="V93" s="175" t="s">
        <v>348</v>
      </c>
      <c r="W93" s="175" t="s">
        <v>348</v>
      </c>
      <c r="X93" s="175" t="s">
        <v>348</v>
      </c>
      <c r="Y93" s="175" t="s">
        <v>348</v>
      </c>
      <c r="Z93" s="175" t="s">
        <v>348</v>
      </c>
      <c r="AA93" s="175" t="s">
        <v>348</v>
      </c>
      <c r="AB93" s="175" t="s">
        <v>348</v>
      </c>
      <c r="AC93" s="175" t="s">
        <v>348</v>
      </c>
      <c r="AD93" s="175" t="s">
        <v>348</v>
      </c>
      <c r="AE93" s="175" t="s">
        <v>348</v>
      </c>
      <c r="AF93" s="175" t="s">
        <v>348</v>
      </c>
      <c r="AG93" s="175" t="s">
        <v>348</v>
      </c>
      <c r="AH93" s="175" t="s">
        <v>348</v>
      </c>
      <c r="AI93" s="175" t="s">
        <v>348</v>
      </c>
      <c r="AJ93" s="176" t="s">
        <v>348</v>
      </c>
    </row>
    <row r="94" spans="1:55" ht="20.100000000000001" customHeight="1" x14ac:dyDescent="0.4">
      <c r="C94" s="233" t="s">
        <v>327</v>
      </c>
      <c r="D94" s="234"/>
      <c r="E94" s="173" t="s">
        <v>348</v>
      </c>
      <c r="F94" s="175" t="s">
        <v>348</v>
      </c>
      <c r="G94" s="175" t="s">
        <v>348</v>
      </c>
      <c r="H94" s="175" t="s">
        <v>348</v>
      </c>
      <c r="I94" s="175" t="s">
        <v>348</v>
      </c>
      <c r="J94" s="175" t="s">
        <v>348</v>
      </c>
      <c r="K94" s="175" t="s">
        <v>348</v>
      </c>
      <c r="L94" s="175" t="s">
        <v>348</v>
      </c>
      <c r="M94" s="175" t="s">
        <v>348</v>
      </c>
      <c r="N94" s="175" t="s">
        <v>348</v>
      </c>
      <c r="O94" s="175" t="s">
        <v>348</v>
      </c>
      <c r="P94" s="175" t="s">
        <v>348</v>
      </c>
      <c r="Q94" s="175" t="s">
        <v>348</v>
      </c>
      <c r="R94" s="175" t="s">
        <v>348</v>
      </c>
      <c r="S94" s="175" t="s">
        <v>348</v>
      </c>
      <c r="T94" s="175" t="s">
        <v>348</v>
      </c>
      <c r="U94" s="175" t="s">
        <v>348</v>
      </c>
      <c r="V94" s="175" t="s">
        <v>348</v>
      </c>
      <c r="W94" s="175" t="s">
        <v>348</v>
      </c>
      <c r="X94" s="175" t="s">
        <v>348</v>
      </c>
      <c r="Y94" s="175" t="s">
        <v>348</v>
      </c>
      <c r="Z94" s="175" t="s">
        <v>348</v>
      </c>
      <c r="AA94" s="175" t="s">
        <v>348</v>
      </c>
      <c r="AB94" s="175" t="s">
        <v>348</v>
      </c>
      <c r="AC94" s="175" t="s">
        <v>348</v>
      </c>
      <c r="AD94" s="175" t="s">
        <v>348</v>
      </c>
      <c r="AE94" s="175" t="s">
        <v>348</v>
      </c>
      <c r="AF94" s="175" t="s">
        <v>348</v>
      </c>
      <c r="AG94" s="175" t="s">
        <v>348</v>
      </c>
      <c r="AH94" s="175" t="s">
        <v>348</v>
      </c>
      <c r="AI94" s="175" t="s">
        <v>348</v>
      </c>
      <c r="AJ94" s="176" t="s">
        <v>348</v>
      </c>
    </row>
    <row r="95" spans="1:55" ht="20.100000000000001" customHeight="1" x14ac:dyDescent="0.4">
      <c r="C95" s="233" t="s">
        <v>328</v>
      </c>
      <c r="D95" s="234"/>
      <c r="E95" s="173" t="s">
        <v>348</v>
      </c>
      <c r="F95" s="175" t="s">
        <v>348</v>
      </c>
      <c r="G95" s="175" t="s">
        <v>348</v>
      </c>
      <c r="H95" s="175" t="s">
        <v>348</v>
      </c>
      <c r="I95" s="175" t="s">
        <v>348</v>
      </c>
      <c r="J95" s="175" t="s">
        <v>348</v>
      </c>
      <c r="K95" s="175" t="s">
        <v>348</v>
      </c>
      <c r="L95" s="175" t="s">
        <v>348</v>
      </c>
      <c r="M95" s="175" t="s">
        <v>348</v>
      </c>
      <c r="N95" s="175" t="s">
        <v>348</v>
      </c>
      <c r="O95" s="175" t="s">
        <v>348</v>
      </c>
      <c r="P95" s="175" t="s">
        <v>348</v>
      </c>
      <c r="Q95" s="175" t="s">
        <v>348</v>
      </c>
      <c r="R95" s="175" t="s">
        <v>348</v>
      </c>
      <c r="S95" s="175" t="s">
        <v>348</v>
      </c>
      <c r="T95" s="175" t="s">
        <v>348</v>
      </c>
      <c r="U95" s="175" t="s">
        <v>348</v>
      </c>
      <c r="V95" s="175" t="s">
        <v>348</v>
      </c>
      <c r="W95" s="175" t="s">
        <v>348</v>
      </c>
      <c r="X95" s="175" t="s">
        <v>348</v>
      </c>
      <c r="Y95" s="175" t="s">
        <v>348</v>
      </c>
      <c r="Z95" s="175" t="s">
        <v>348</v>
      </c>
      <c r="AA95" s="175" t="s">
        <v>348</v>
      </c>
      <c r="AB95" s="175" t="s">
        <v>348</v>
      </c>
      <c r="AC95" s="175" t="s">
        <v>348</v>
      </c>
      <c r="AD95" s="175" t="s">
        <v>348</v>
      </c>
      <c r="AE95" s="175" t="s">
        <v>348</v>
      </c>
      <c r="AF95" s="175" t="s">
        <v>348</v>
      </c>
      <c r="AG95" s="175" t="s">
        <v>348</v>
      </c>
      <c r="AH95" s="175" t="s">
        <v>348</v>
      </c>
      <c r="AI95" s="175" t="s">
        <v>348</v>
      </c>
      <c r="AJ95" s="176" t="s">
        <v>348</v>
      </c>
    </row>
    <row r="96" spans="1:55" ht="20.100000000000001" customHeight="1" x14ac:dyDescent="0.4">
      <c r="C96" s="233" t="s">
        <v>329</v>
      </c>
      <c r="D96" s="234"/>
      <c r="E96" s="226" t="s">
        <v>356</v>
      </c>
      <c r="F96" s="227" t="s">
        <v>356</v>
      </c>
      <c r="G96" s="175" t="s">
        <v>348</v>
      </c>
      <c r="H96" s="175" t="s">
        <v>348</v>
      </c>
      <c r="I96" s="227" t="s">
        <v>355</v>
      </c>
      <c r="J96" s="227" t="s">
        <v>355</v>
      </c>
      <c r="K96" s="227" t="s">
        <v>355</v>
      </c>
      <c r="L96" s="175" t="s">
        <v>348</v>
      </c>
      <c r="M96" s="175" t="s">
        <v>348</v>
      </c>
      <c r="N96" s="175" t="s">
        <v>348</v>
      </c>
      <c r="O96" s="175" t="s">
        <v>348</v>
      </c>
      <c r="P96" s="227" t="s">
        <v>357</v>
      </c>
      <c r="Q96" s="227" t="s">
        <v>357</v>
      </c>
      <c r="R96" s="227" t="s">
        <v>357</v>
      </c>
      <c r="S96" s="175" t="s">
        <v>348</v>
      </c>
      <c r="T96" s="175" t="s">
        <v>348</v>
      </c>
      <c r="U96" s="175" t="s">
        <v>348</v>
      </c>
      <c r="V96" s="175" t="s">
        <v>348</v>
      </c>
      <c r="W96" s="175" t="s">
        <v>348</v>
      </c>
      <c r="X96" s="175" t="s">
        <v>348</v>
      </c>
      <c r="Y96" s="175" t="s">
        <v>348</v>
      </c>
      <c r="Z96" s="175" t="s">
        <v>348</v>
      </c>
      <c r="AA96" s="175" t="s">
        <v>348</v>
      </c>
      <c r="AB96" s="175" t="s">
        <v>348</v>
      </c>
      <c r="AC96" s="175" t="s">
        <v>348</v>
      </c>
      <c r="AD96" s="175" t="s">
        <v>348</v>
      </c>
      <c r="AE96" s="175" t="s">
        <v>348</v>
      </c>
      <c r="AF96" s="175" t="s">
        <v>348</v>
      </c>
      <c r="AG96" s="175" t="s">
        <v>348</v>
      </c>
      <c r="AH96" s="175" t="s">
        <v>348</v>
      </c>
      <c r="AI96" s="175" t="s">
        <v>348</v>
      </c>
      <c r="AJ96" s="176" t="s">
        <v>348</v>
      </c>
    </row>
    <row r="97" spans="3:36" ht="20.100000000000001" customHeight="1" x14ac:dyDescent="0.4">
      <c r="C97" s="233" t="s">
        <v>330</v>
      </c>
      <c r="D97" s="234"/>
      <c r="E97" s="173" t="s">
        <v>348</v>
      </c>
      <c r="F97" s="175" t="s">
        <v>348</v>
      </c>
      <c r="G97" s="175" t="s">
        <v>348</v>
      </c>
      <c r="H97" s="175" t="s">
        <v>348</v>
      </c>
      <c r="I97" s="175" t="s">
        <v>348</v>
      </c>
      <c r="J97" s="175" t="s">
        <v>348</v>
      </c>
      <c r="K97" s="175" t="s">
        <v>348</v>
      </c>
      <c r="L97" s="175" t="s">
        <v>348</v>
      </c>
      <c r="M97" s="175" t="s">
        <v>348</v>
      </c>
      <c r="N97" s="175" t="s">
        <v>348</v>
      </c>
      <c r="O97" s="175" t="s">
        <v>348</v>
      </c>
      <c r="P97" s="175" t="s">
        <v>348</v>
      </c>
      <c r="Q97" s="175" t="s">
        <v>348</v>
      </c>
      <c r="R97" s="175" t="s">
        <v>348</v>
      </c>
      <c r="S97" s="175" t="s">
        <v>348</v>
      </c>
      <c r="T97" s="175" t="s">
        <v>348</v>
      </c>
      <c r="U97" s="175" t="s">
        <v>348</v>
      </c>
      <c r="V97" s="175" t="s">
        <v>348</v>
      </c>
      <c r="W97" s="175" t="s">
        <v>348</v>
      </c>
      <c r="X97" s="175" t="s">
        <v>348</v>
      </c>
      <c r="Y97" s="175" t="s">
        <v>348</v>
      </c>
      <c r="Z97" s="175" t="s">
        <v>348</v>
      </c>
      <c r="AA97" s="175" t="s">
        <v>348</v>
      </c>
      <c r="AB97" s="175" t="s">
        <v>348</v>
      </c>
      <c r="AC97" s="175" t="s">
        <v>348</v>
      </c>
      <c r="AD97" s="175" t="s">
        <v>348</v>
      </c>
      <c r="AE97" s="175" t="s">
        <v>348</v>
      </c>
      <c r="AF97" s="175" t="s">
        <v>348</v>
      </c>
      <c r="AG97" s="175" t="s">
        <v>348</v>
      </c>
      <c r="AH97" s="175" t="s">
        <v>348</v>
      </c>
      <c r="AI97" s="175" t="s">
        <v>348</v>
      </c>
      <c r="AJ97" s="176" t="s">
        <v>348</v>
      </c>
    </row>
    <row r="98" spans="3:36" ht="20.100000000000001" customHeight="1" x14ac:dyDescent="0.4">
      <c r="C98" s="233" t="s">
        <v>331</v>
      </c>
      <c r="D98" s="234"/>
      <c r="E98" s="226" t="s">
        <v>355</v>
      </c>
      <c r="F98" s="227" t="s">
        <v>355</v>
      </c>
      <c r="G98" s="227" t="s">
        <v>354</v>
      </c>
      <c r="H98" s="175" t="s">
        <v>348</v>
      </c>
      <c r="I98" s="227" t="s">
        <v>357</v>
      </c>
      <c r="J98" s="227" t="s">
        <v>354</v>
      </c>
      <c r="K98" s="227" t="s">
        <v>354</v>
      </c>
      <c r="L98" s="227" t="s">
        <v>354</v>
      </c>
      <c r="M98" s="227" t="s">
        <v>354</v>
      </c>
      <c r="N98" s="175" t="s">
        <v>348</v>
      </c>
      <c r="O98" s="175" t="s">
        <v>348</v>
      </c>
      <c r="P98" s="227" t="s">
        <v>354</v>
      </c>
      <c r="Q98" s="227" t="s">
        <v>355</v>
      </c>
      <c r="R98" s="175" t="s">
        <v>348</v>
      </c>
      <c r="S98" s="227" t="s">
        <v>355</v>
      </c>
      <c r="T98" s="227" t="s">
        <v>355</v>
      </c>
      <c r="U98" s="227" t="s">
        <v>357</v>
      </c>
      <c r="V98" s="175" t="s">
        <v>348</v>
      </c>
      <c r="W98" s="175" t="s">
        <v>348</v>
      </c>
      <c r="X98" s="227" t="s">
        <v>354</v>
      </c>
      <c r="Y98" s="227" t="s">
        <v>354</v>
      </c>
      <c r="Z98" s="227" t="s">
        <v>354</v>
      </c>
      <c r="AA98" s="227" t="s">
        <v>354</v>
      </c>
      <c r="AB98" s="175" t="s">
        <v>348</v>
      </c>
      <c r="AC98" s="175" t="s">
        <v>348</v>
      </c>
      <c r="AD98" s="227" t="s">
        <v>357</v>
      </c>
      <c r="AE98" s="227" t="s">
        <v>357</v>
      </c>
      <c r="AF98" s="175" t="s">
        <v>348</v>
      </c>
      <c r="AG98" s="175" t="s">
        <v>348</v>
      </c>
      <c r="AH98" s="175" t="s">
        <v>348</v>
      </c>
      <c r="AI98" s="227" t="s">
        <v>356</v>
      </c>
      <c r="AJ98" s="176" t="s">
        <v>348</v>
      </c>
    </row>
    <row r="99" spans="3:36" ht="20.100000000000001" customHeight="1" x14ac:dyDescent="0.4">
      <c r="C99" s="233" t="s">
        <v>332</v>
      </c>
      <c r="D99" s="234"/>
      <c r="E99" s="173" t="s">
        <v>348</v>
      </c>
      <c r="F99" s="175" t="s">
        <v>348</v>
      </c>
      <c r="G99" s="175" t="s">
        <v>348</v>
      </c>
      <c r="H99" s="175" t="s">
        <v>348</v>
      </c>
      <c r="I99" s="175" t="s">
        <v>348</v>
      </c>
      <c r="J99" s="175" t="s">
        <v>348</v>
      </c>
      <c r="K99" s="175" t="s">
        <v>348</v>
      </c>
      <c r="L99" s="175" t="s">
        <v>348</v>
      </c>
      <c r="M99" s="175" t="s">
        <v>348</v>
      </c>
      <c r="N99" s="175" t="s">
        <v>348</v>
      </c>
      <c r="O99" s="175" t="s">
        <v>348</v>
      </c>
      <c r="P99" s="175" t="s">
        <v>348</v>
      </c>
      <c r="Q99" s="175" t="s">
        <v>348</v>
      </c>
      <c r="R99" s="175" t="s">
        <v>348</v>
      </c>
      <c r="S99" s="175" t="s">
        <v>348</v>
      </c>
      <c r="T99" s="175" t="s">
        <v>348</v>
      </c>
      <c r="U99" s="175" t="s">
        <v>348</v>
      </c>
      <c r="V99" s="175" t="s">
        <v>348</v>
      </c>
      <c r="W99" s="175" t="s">
        <v>348</v>
      </c>
      <c r="X99" s="175" t="s">
        <v>348</v>
      </c>
      <c r="Y99" s="175" t="s">
        <v>348</v>
      </c>
      <c r="Z99" s="175" t="s">
        <v>348</v>
      </c>
      <c r="AA99" s="175" t="s">
        <v>348</v>
      </c>
      <c r="AB99" s="175" t="s">
        <v>348</v>
      </c>
      <c r="AC99" s="175" t="s">
        <v>348</v>
      </c>
      <c r="AD99" s="175" t="s">
        <v>348</v>
      </c>
      <c r="AE99" s="175" t="s">
        <v>348</v>
      </c>
      <c r="AF99" s="175" t="s">
        <v>348</v>
      </c>
      <c r="AG99" s="175" t="s">
        <v>348</v>
      </c>
      <c r="AH99" s="175" t="s">
        <v>348</v>
      </c>
      <c r="AI99" s="175" t="s">
        <v>348</v>
      </c>
      <c r="AJ99" s="176" t="s">
        <v>348</v>
      </c>
    </row>
    <row r="100" spans="3:36" ht="20.100000000000001" customHeight="1" thickBot="1" x14ac:dyDescent="0.45">
      <c r="C100" s="254" t="s">
        <v>342</v>
      </c>
      <c r="D100" s="244"/>
      <c r="E100" s="242" t="s">
        <v>358</v>
      </c>
      <c r="F100" s="4" t="s">
        <v>358</v>
      </c>
      <c r="G100" s="4" t="s">
        <v>356</v>
      </c>
      <c r="H100" s="4" t="s">
        <v>348</v>
      </c>
      <c r="I100" s="4" t="s">
        <v>356</v>
      </c>
      <c r="J100" s="4" t="s">
        <v>357</v>
      </c>
      <c r="K100" s="4" t="s">
        <v>357</v>
      </c>
      <c r="L100" s="4" t="s">
        <v>354</v>
      </c>
      <c r="M100" s="4" t="s">
        <v>354</v>
      </c>
      <c r="N100" s="4" t="s">
        <v>348</v>
      </c>
      <c r="O100" s="4" t="s">
        <v>348</v>
      </c>
      <c r="P100" s="4" t="s">
        <v>358</v>
      </c>
      <c r="Q100" s="4" t="s">
        <v>356</v>
      </c>
      <c r="R100" s="4" t="s">
        <v>357</v>
      </c>
      <c r="S100" s="4" t="s">
        <v>355</v>
      </c>
      <c r="T100" s="4" t="s">
        <v>355</v>
      </c>
      <c r="U100" s="4" t="s">
        <v>358</v>
      </c>
      <c r="V100" s="4" t="s">
        <v>348</v>
      </c>
      <c r="W100" s="4" t="s">
        <v>348</v>
      </c>
      <c r="X100" s="4" t="s">
        <v>354</v>
      </c>
      <c r="Y100" s="4" t="s">
        <v>354</v>
      </c>
      <c r="Z100" s="4" t="s">
        <v>354</v>
      </c>
      <c r="AA100" s="4" t="s">
        <v>354</v>
      </c>
      <c r="AB100" s="4" t="s">
        <v>348</v>
      </c>
      <c r="AC100" s="4" t="s">
        <v>348</v>
      </c>
      <c r="AD100" s="4" t="s">
        <v>357</v>
      </c>
      <c r="AE100" s="4" t="s">
        <v>357</v>
      </c>
      <c r="AF100" s="4" t="s">
        <v>348</v>
      </c>
      <c r="AG100" s="4" t="s">
        <v>348</v>
      </c>
      <c r="AH100" s="4" t="s">
        <v>348</v>
      </c>
      <c r="AI100" s="4" t="s">
        <v>358</v>
      </c>
      <c r="AJ100" s="80" t="s">
        <v>348</v>
      </c>
    </row>
    <row r="101" spans="3:36" ht="60" customHeight="1" thickBot="1" x14ac:dyDescent="0.45">
      <c r="C101" s="256" t="s">
        <v>218</v>
      </c>
      <c r="D101" s="255"/>
      <c r="E101" s="239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4"/>
      <c r="U101" s="164"/>
      <c r="V101" s="164"/>
      <c r="W101" s="164"/>
      <c r="X101" s="164"/>
      <c r="Y101" s="164"/>
      <c r="Z101" s="164"/>
      <c r="AA101" s="164"/>
      <c r="AB101" s="164"/>
      <c r="AC101" s="164"/>
      <c r="AD101" s="164"/>
      <c r="AE101" s="164"/>
      <c r="AF101" s="164"/>
      <c r="AG101" s="164"/>
      <c r="AH101" s="164"/>
      <c r="AI101" s="164"/>
      <c r="AJ101" s="166"/>
    </row>
    <row r="102" spans="3:36" ht="20.100000000000001" customHeight="1" thickBot="1" x14ac:dyDescent="0.45">
      <c r="E102" s="163" t="s">
        <v>367</v>
      </c>
    </row>
    <row r="103" spans="3:36" ht="20.100000000000001" customHeight="1" thickBot="1" x14ac:dyDescent="0.45">
      <c r="C103" s="256" t="s">
        <v>366</v>
      </c>
      <c r="D103" s="255"/>
      <c r="E103" s="239" t="s">
        <v>340</v>
      </c>
      <c r="F103" s="164" t="s">
        <v>360</v>
      </c>
      <c r="G103" s="164" t="s">
        <v>361</v>
      </c>
      <c r="H103" s="164" t="s">
        <v>362</v>
      </c>
      <c r="I103" s="164" t="s">
        <v>363</v>
      </c>
      <c r="J103" s="164" t="s">
        <v>364</v>
      </c>
      <c r="K103" s="166" t="s">
        <v>365</v>
      </c>
    </row>
    <row r="104" spans="3:36" ht="20.100000000000001" customHeight="1" x14ac:dyDescent="0.4">
      <c r="C104" s="243" t="s">
        <v>11</v>
      </c>
      <c r="D104" s="258"/>
      <c r="E104" s="257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20">
        <v>0</v>
      </c>
    </row>
    <row r="105" spans="3:36" ht="20.100000000000001" customHeight="1" x14ac:dyDescent="0.4">
      <c r="C105" s="233" t="s">
        <v>12</v>
      </c>
      <c r="D105" s="234"/>
      <c r="E105" s="240">
        <v>0</v>
      </c>
      <c r="F105" s="16">
        <v>0</v>
      </c>
      <c r="G105" s="16">
        <v>0</v>
      </c>
      <c r="H105" s="16">
        <v>0</v>
      </c>
      <c r="I105" s="16">
        <v>0</v>
      </c>
      <c r="J105" s="16">
        <v>0</v>
      </c>
      <c r="K105" s="223">
        <v>0</v>
      </c>
    </row>
    <row r="106" spans="3:36" ht="20.100000000000001" customHeight="1" x14ac:dyDescent="0.4">
      <c r="C106" s="233" t="s">
        <v>13</v>
      </c>
      <c r="D106" s="234"/>
      <c r="E106" s="240">
        <v>0</v>
      </c>
      <c r="F106" s="16">
        <v>0</v>
      </c>
      <c r="G106" s="16">
        <v>0</v>
      </c>
      <c r="H106" s="16">
        <v>0</v>
      </c>
      <c r="I106" s="16">
        <v>0</v>
      </c>
      <c r="J106" s="16">
        <v>0</v>
      </c>
      <c r="K106" s="223">
        <v>0</v>
      </c>
    </row>
    <row r="107" spans="3:36" ht="20.100000000000001" customHeight="1" x14ac:dyDescent="0.4">
      <c r="C107" s="233" t="s">
        <v>14</v>
      </c>
      <c r="D107" s="234"/>
      <c r="E107" s="240">
        <v>0</v>
      </c>
      <c r="F107" s="16">
        <v>0</v>
      </c>
      <c r="G107" s="16">
        <v>0</v>
      </c>
      <c r="H107" s="16">
        <v>0</v>
      </c>
      <c r="I107" s="16">
        <v>0</v>
      </c>
      <c r="J107" s="16">
        <v>0</v>
      </c>
      <c r="K107" s="223">
        <v>0</v>
      </c>
    </row>
    <row r="108" spans="3:36" ht="20.100000000000001" customHeight="1" x14ac:dyDescent="0.4">
      <c r="C108" s="233" t="s">
        <v>15</v>
      </c>
      <c r="D108" s="234"/>
      <c r="E108" s="240">
        <v>0</v>
      </c>
      <c r="F108" s="16">
        <v>0</v>
      </c>
      <c r="G108" s="16">
        <v>0</v>
      </c>
      <c r="H108" s="16">
        <v>0</v>
      </c>
      <c r="I108" s="16">
        <v>0</v>
      </c>
      <c r="J108" s="16">
        <v>0</v>
      </c>
      <c r="K108" s="223">
        <v>0</v>
      </c>
    </row>
    <row r="109" spans="3:36" ht="20.100000000000001" customHeight="1" x14ac:dyDescent="0.4">
      <c r="C109" s="233" t="s">
        <v>16</v>
      </c>
      <c r="D109" s="234"/>
      <c r="E109" s="240">
        <v>0</v>
      </c>
      <c r="F109" s="16">
        <v>0</v>
      </c>
      <c r="G109" s="16">
        <v>0</v>
      </c>
      <c r="H109" s="16">
        <v>0</v>
      </c>
      <c r="I109" s="16">
        <v>0</v>
      </c>
      <c r="J109" s="16">
        <v>0</v>
      </c>
      <c r="K109" s="223">
        <v>0</v>
      </c>
    </row>
    <row r="110" spans="3:36" ht="20.100000000000001" customHeight="1" x14ac:dyDescent="0.4">
      <c r="C110" s="233" t="s">
        <v>17</v>
      </c>
      <c r="D110" s="234"/>
      <c r="E110" s="240">
        <v>0</v>
      </c>
      <c r="F110" s="16">
        <v>0</v>
      </c>
      <c r="G110" s="16">
        <v>0</v>
      </c>
      <c r="H110" s="16">
        <v>0</v>
      </c>
      <c r="I110" s="16">
        <v>0</v>
      </c>
      <c r="J110" s="16">
        <v>0</v>
      </c>
      <c r="K110" s="223">
        <v>0</v>
      </c>
    </row>
    <row r="111" spans="3:36" ht="20.100000000000001" customHeight="1" x14ac:dyDescent="0.4">
      <c r="C111" s="233" t="s">
        <v>18</v>
      </c>
      <c r="D111" s="234"/>
      <c r="E111" s="240">
        <v>0</v>
      </c>
      <c r="F111" s="16">
        <v>0</v>
      </c>
      <c r="G111" s="16">
        <v>0</v>
      </c>
      <c r="H111" s="16">
        <v>0</v>
      </c>
      <c r="I111" s="16">
        <v>0</v>
      </c>
      <c r="J111" s="16">
        <v>0</v>
      </c>
      <c r="K111" s="223">
        <v>0</v>
      </c>
    </row>
    <row r="112" spans="3:36" ht="20.100000000000001" customHeight="1" x14ac:dyDescent="0.4">
      <c r="C112" s="233" t="s">
        <v>19</v>
      </c>
      <c r="D112" s="234"/>
      <c r="E112" s="240">
        <v>0</v>
      </c>
      <c r="F112" s="16">
        <v>0</v>
      </c>
      <c r="G112" s="16">
        <v>0</v>
      </c>
      <c r="H112" s="16">
        <v>0</v>
      </c>
      <c r="I112" s="16">
        <v>0</v>
      </c>
      <c r="J112" s="16">
        <v>0</v>
      </c>
      <c r="K112" s="223">
        <v>0</v>
      </c>
    </row>
    <row r="113" spans="3:11" ht="20.100000000000001" customHeight="1" x14ac:dyDescent="0.4">
      <c r="C113" s="233" t="s">
        <v>20</v>
      </c>
      <c r="D113" s="234"/>
      <c r="E113" s="240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223">
        <v>0</v>
      </c>
    </row>
    <row r="114" spans="3:11" ht="20.100000000000001" customHeight="1" x14ac:dyDescent="0.4">
      <c r="C114" s="233" t="s">
        <v>21</v>
      </c>
      <c r="D114" s="234"/>
      <c r="E114" s="240">
        <v>0</v>
      </c>
      <c r="F114" s="16">
        <v>0</v>
      </c>
      <c r="G114" s="16">
        <v>0</v>
      </c>
      <c r="H114" s="16">
        <v>0</v>
      </c>
      <c r="I114" s="16">
        <v>0</v>
      </c>
      <c r="J114" s="16">
        <v>0</v>
      </c>
      <c r="K114" s="223">
        <v>0</v>
      </c>
    </row>
    <row r="115" spans="3:11" ht="20.100000000000001" customHeight="1" x14ac:dyDescent="0.4">
      <c r="C115" s="233" t="s">
        <v>327</v>
      </c>
      <c r="D115" s="234"/>
      <c r="E115" s="240">
        <v>0</v>
      </c>
      <c r="F115" s="16">
        <v>0</v>
      </c>
      <c r="G115" s="16">
        <v>0</v>
      </c>
      <c r="H115" s="16">
        <v>0</v>
      </c>
      <c r="I115" s="16">
        <v>0</v>
      </c>
      <c r="J115" s="16">
        <v>0</v>
      </c>
      <c r="K115" s="223">
        <v>0</v>
      </c>
    </row>
    <row r="116" spans="3:11" ht="20.100000000000001" customHeight="1" x14ac:dyDescent="0.4">
      <c r="C116" s="233" t="s">
        <v>328</v>
      </c>
      <c r="D116" s="234"/>
      <c r="E116" s="240">
        <v>0</v>
      </c>
      <c r="F116" s="16">
        <v>0</v>
      </c>
      <c r="G116" s="16">
        <v>0</v>
      </c>
      <c r="H116" s="16">
        <v>0</v>
      </c>
      <c r="I116" s="16">
        <v>0</v>
      </c>
      <c r="J116" s="16">
        <v>0</v>
      </c>
      <c r="K116" s="223">
        <v>0</v>
      </c>
    </row>
    <row r="117" spans="3:11" ht="20.100000000000001" customHeight="1" x14ac:dyDescent="0.4">
      <c r="C117" s="233" t="s">
        <v>329</v>
      </c>
      <c r="D117" s="234"/>
      <c r="E117" s="240">
        <v>0</v>
      </c>
      <c r="F117" s="16">
        <v>0</v>
      </c>
      <c r="G117" s="16">
        <v>0</v>
      </c>
      <c r="H117" s="16">
        <v>0</v>
      </c>
      <c r="I117" s="16">
        <v>0</v>
      </c>
      <c r="J117" s="16">
        <v>0</v>
      </c>
      <c r="K117" s="223">
        <v>0</v>
      </c>
    </row>
    <row r="118" spans="3:11" ht="20.100000000000001" customHeight="1" x14ac:dyDescent="0.4">
      <c r="C118" s="233" t="s">
        <v>330</v>
      </c>
      <c r="D118" s="234"/>
      <c r="E118" s="240">
        <v>0</v>
      </c>
      <c r="F118" s="16">
        <v>0</v>
      </c>
      <c r="G118" s="16">
        <v>0</v>
      </c>
      <c r="H118" s="16">
        <v>0</v>
      </c>
      <c r="I118" s="16">
        <v>0</v>
      </c>
      <c r="J118" s="16">
        <v>0</v>
      </c>
      <c r="K118" s="223">
        <v>0</v>
      </c>
    </row>
    <row r="119" spans="3:11" ht="20.100000000000001" customHeight="1" x14ac:dyDescent="0.4">
      <c r="C119" s="233" t="s">
        <v>331</v>
      </c>
      <c r="D119" s="234"/>
      <c r="E119" s="240">
        <v>0</v>
      </c>
      <c r="F119" s="16">
        <v>0</v>
      </c>
      <c r="G119" s="16">
        <v>0</v>
      </c>
      <c r="H119" s="16">
        <v>0</v>
      </c>
      <c r="I119" s="16">
        <v>0</v>
      </c>
      <c r="J119" s="16">
        <v>0</v>
      </c>
      <c r="K119" s="223">
        <v>0</v>
      </c>
    </row>
    <row r="120" spans="3:11" ht="20.100000000000001" customHeight="1" thickBot="1" x14ac:dyDescent="0.45">
      <c r="C120" s="235" t="s">
        <v>332</v>
      </c>
      <c r="D120" s="236"/>
      <c r="E120" s="241">
        <v>0</v>
      </c>
      <c r="F120" s="19">
        <v>0</v>
      </c>
      <c r="G120" s="19">
        <v>0</v>
      </c>
      <c r="H120" s="19">
        <v>0</v>
      </c>
      <c r="I120" s="19">
        <v>0</v>
      </c>
      <c r="J120" s="19">
        <v>0</v>
      </c>
      <c r="K120" s="225">
        <v>0</v>
      </c>
    </row>
  </sheetData>
  <mergeCells count="40">
    <mergeCell ref="C117:D117"/>
    <mergeCell ref="C118:D118"/>
    <mergeCell ref="C119:D119"/>
    <mergeCell ref="C120:D120"/>
    <mergeCell ref="C112:D112"/>
    <mergeCell ref="C113:D113"/>
    <mergeCell ref="C114:D114"/>
    <mergeCell ref="C115:D115"/>
    <mergeCell ref="C116:D116"/>
    <mergeCell ref="C107:D107"/>
    <mergeCell ref="C108:D108"/>
    <mergeCell ref="C109:D109"/>
    <mergeCell ref="C110:D110"/>
    <mergeCell ref="C111:D111"/>
    <mergeCell ref="C101:D101"/>
    <mergeCell ref="C103:D103"/>
    <mergeCell ref="C104:D104"/>
    <mergeCell ref="C105:D105"/>
    <mergeCell ref="C106:D106"/>
    <mergeCell ref="C100:D100"/>
    <mergeCell ref="C89:D89"/>
    <mergeCell ref="C90:D90"/>
    <mergeCell ref="C91:D91"/>
    <mergeCell ref="C95:D95"/>
    <mergeCell ref="C96:D96"/>
    <mergeCell ref="C92:D92"/>
    <mergeCell ref="C93:D93"/>
    <mergeCell ref="C94:D94"/>
    <mergeCell ref="C97:D97"/>
    <mergeCell ref="C98:D98"/>
    <mergeCell ref="C99:D99"/>
    <mergeCell ref="C88:D88"/>
    <mergeCell ref="C83:D83"/>
    <mergeCell ref="C84:D84"/>
    <mergeCell ref="C85:D85"/>
    <mergeCell ref="C86:D86"/>
    <mergeCell ref="C87:D87"/>
    <mergeCell ref="BC3:BC4"/>
    <mergeCell ref="AK3:AS3"/>
    <mergeCell ref="AT3:BB3"/>
  </mergeCells>
  <phoneticPr fontId="1"/>
  <conditionalFormatting sqref="E5:AJ82">
    <cfRule type="endsWith" dxfId="49" priority="1" stopIfTrue="1" operator="endsWith" text="休">
      <formula>RIGHT(E5,LEN("休"))="休"</formula>
    </cfRule>
    <cfRule type="endsWith" dxfId="48" priority="2" stopIfTrue="1" operator="endsWith" text="年">
      <formula>RIGHT(E5,LEN("年"))="年"</formula>
    </cfRule>
    <cfRule type="endsWith" dxfId="47" priority="3" stopIfTrue="1" operator="endsWith" text="夏">
      <formula>RIGHT(E5,LEN("夏"))="夏"</formula>
    </cfRule>
    <cfRule type="endsWith" dxfId="46" priority="4" stopIfTrue="1" operator="endsWith" text="特">
      <formula>RIGHT(E5,LEN("特"))="特"</formula>
    </cfRule>
    <cfRule type="endsWith" dxfId="45" priority="5" stopIfTrue="1" operator="endsWith" text="育">
      <formula>RIGHT(E5,LEN("育"))="育"</formula>
    </cfRule>
    <cfRule type="endsWith" dxfId="44" priority="6" stopIfTrue="1" operator="endsWith" text="産">
      <formula>RIGHT(E5,LEN("産"))="産"</formula>
    </cfRule>
    <cfRule type="endsWith" dxfId="43" priority="7" stopIfTrue="1" operator="endsWith" text="忌">
      <formula>RIGHT(E5,LEN("忌"))="忌"</formula>
    </cfRule>
    <cfRule type="endsWith" dxfId="42" priority="8" stopIfTrue="1" operator="endsWith" text="半">
      <formula>RIGHT(E5,LEN("半"))="半"</formula>
    </cfRule>
    <cfRule type="endsWith" dxfId="41" priority="9" stopIfTrue="1" operator="endsWith" text="張">
      <formula>RIGHT(E5,LEN("張"))="張"</formula>
    </cfRule>
    <cfRule type="endsWith" dxfId="40" priority="10" stopIfTrue="1" operator="endsWith" text="☓">
      <formula>RIGHT(E5,LEN("☓"))="☓"</formula>
    </cfRule>
    <cfRule type="endsWith" dxfId="39" priority="11" stopIfTrue="1" operator="endsWith" text="A夜">
      <formula>RIGHT(E5,LEN("A夜"))="A夜"</formula>
    </cfRule>
    <cfRule type="endsWith" dxfId="38" priority="12" stopIfTrue="1" operator="endsWith" text="M夜">
      <formula>RIGHT(E5,LEN("M夜"))="M夜"</formula>
    </cfRule>
    <cfRule type="endsWith" dxfId="37" priority="13" stopIfTrue="1" operator="endsWith" text="C夜">
      <formula>RIGHT(E5,LEN("C夜"))="C夜"</formula>
    </cfRule>
    <cfRule type="endsWith" dxfId="36" priority="14" stopIfTrue="1" operator="endsWith" text="A日">
      <formula>RIGHT(E5,LEN("A日"))="A日"</formula>
    </cfRule>
    <cfRule type="endsWith" dxfId="35" priority="15" stopIfTrue="1" operator="endsWith" text="M日">
      <formula>RIGHT(E5,LEN("M日"))="M日"</formula>
    </cfRule>
    <cfRule type="endsWith" dxfId="34" priority="16" stopIfTrue="1" operator="endsWith" text="C日">
      <formula>RIGHT(E5,LEN("C日"))="C日"</formula>
    </cfRule>
    <cfRule type="endsWith" dxfId="33" priority="17" stopIfTrue="1" operator="endsWith" text="F日">
      <formula>RIGHT(E5,LEN("F日"))="F日"</formula>
    </cfRule>
    <cfRule type="endsWith" dxfId="32" priority="18" stopIfTrue="1" operator="endsWith" text="明">
      <formula>RIGHT(E5,LEN("明"))="明"</formula>
    </cfRule>
    <cfRule type="endsWith" dxfId="31" priority="19" stopIfTrue="1" operator="endsWith" text="RT">
      <formula>RIGHT(E5,LEN("RT"))="RT"</formula>
    </cfRule>
    <cfRule type="endsWith" dxfId="30" priority="20" stopIfTrue="1" operator="endsWith" text="MR">
      <formula>RIGHT(E5,LEN("MR"))="MR"</formula>
    </cfRule>
    <cfRule type="endsWith" dxfId="29" priority="21" stopIfTrue="1" operator="endsWith" text="TV">
      <formula>RIGHT(E5,LEN("TV"))="TV"</formula>
    </cfRule>
    <cfRule type="endsWith" dxfId="28" priority="22" stopIfTrue="1" operator="endsWith" text="KS">
      <formula>RIGHT(E5,LEN("KS"))="KS"</formula>
    </cfRule>
    <cfRule type="endsWith" dxfId="27" priority="23" stopIfTrue="1" operator="endsWith" text="NM">
      <formula>RIGHT(E5,LEN("NM"))="NM"</formula>
    </cfRule>
    <cfRule type="endsWith" dxfId="26" priority="24" stopIfTrue="1" operator="endsWith" text="XP">
      <formula>RIGHT(E5,LEN("XP"))="XP"</formula>
    </cfRule>
    <cfRule type="endsWith" dxfId="25" priority="25" stopIfTrue="1" operator="endsWith" text="MG">
      <formula>RIGHT(E5,LEN("MG"))="MG"</formula>
    </cfRule>
    <cfRule type="endsWith" dxfId="24" priority="26" stopIfTrue="1" operator="endsWith" text="MT">
      <formula>RIGHT(E5,LEN("MT"))="MT"</formula>
    </cfRule>
    <cfRule type="endsWith" dxfId="23" priority="27" stopIfTrue="1" operator="endsWith" text="CT">
      <formula>RIGHT(E5,LEN("CT"))="CT"</formula>
    </cfRule>
    <cfRule type="endsWith" dxfId="22" priority="28" stopIfTrue="1" operator="endsWith" text="XO">
      <formula>RIGHT(E5,LEN("XO"))="XO"</formula>
    </cfRule>
    <cfRule type="endsWith" dxfId="21" priority="29" stopIfTrue="1" operator="endsWith" text="AG">
      <formula>RIGHT(E5,LEN("AG"))="AG"</formula>
    </cfRule>
    <cfRule type="endsWith" dxfId="20" priority="30" stopIfTrue="1" operator="endsWith" text="FR">
      <formula>RIGHT(E5,LEN("FR"))="FR"</formula>
    </cfRule>
    <cfRule type="endsWith" dxfId="19" priority="31" stopIfTrue="1" operator="endsWith" text="AS">
      <formula>RIGHT(E5,LEN("AS"))="AS"</formula>
    </cfRule>
    <cfRule type="endsWith" dxfId="18" priority="32" stopIfTrue="1" operator="endsWith" text="ET">
      <formula>RIGHT(E5,LEN("ET"))="ET"</formula>
    </cfRule>
    <cfRule type="endsWith" dxfId="17" priority="33" stopIfTrue="1" operator="endsWith" text="年1">
      <formula>RIGHT(E5,LEN("年1"))="年1"</formula>
    </cfRule>
  </conditionalFormatting>
  <conditionalFormatting sqref="D5:D82">
    <cfRule type="endsWith" dxfId="16" priority="34" stopIfTrue="1" operator="endsWith" text="MR">
      <formula>RIGHT(D5,LEN("MR"))="MR"</formula>
    </cfRule>
    <cfRule type="endsWith" dxfId="15" priority="35" stopIfTrue="1" operator="endsWith" text="TV">
      <formula>RIGHT(D5,LEN("TV"))="TV"</formula>
    </cfRule>
    <cfRule type="endsWith" dxfId="14" priority="36" stopIfTrue="1" operator="endsWith" text="KS">
      <formula>RIGHT(D5,LEN("KS"))="KS"</formula>
    </cfRule>
    <cfRule type="endsWith" dxfId="13" priority="37" stopIfTrue="1" operator="endsWith" text="NM">
      <formula>RIGHT(D5,LEN("NM"))="NM"</formula>
    </cfRule>
    <cfRule type="endsWith" dxfId="12" priority="38" stopIfTrue="1" operator="endsWith" text="AG">
      <formula>RIGHT(D5,LEN("AG"))="AG"</formula>
    </cfRule>
    <cfRule type="endsWith" dxfId="11" priority="39" stopIfTrue="1" operator="endsWith" text="RT">
      <formula>RIGHT(D5,LEN("RT"))="RT"</formula>
    </cfRule>
    <cfRule type="endsWith" dxfId="10" priority="40" stopIfTrue="1" operator="endsWith" text="XP">
      <formula>RIGHT(D5,LEN("XP"))="XP"</formula>
    </cfRule>
    <cfRule type="endsWith" dxfId="9" priority="41" stopIfTrue="1" operator="endsWith" text="MG">
      <formula>RIGHT(D5,LEN("MG"))="MG"</formula>
    </cfRule>
    <cfRule type="endsWith" dxfId="8" priority="42" stopIfTrue="1" operator="endsWith" text="MT">
      <formula>RIGHT(D5,LEN("MT"))="MT"</formula>
    </cfRule>
    <cfRule type="endsWith" dxfId="7" priority="43" stopIfTrue="1" operator="endsWith" text="CT">
      <formula>RIGHT(D5,LEN("CT"))="CT"</formula>
    </cfRule>
    <cfRule type="endsWith" dxfId="6" priority="44" stopIfTrue="1" operator="endsWith" text="XO">
      <formula>RIGHT(D5,LEN("XO"))="XO"</formula>
    </cfRule>
    <cfRule type="endsWith" dxfId="5" priority="45" stopIfTrue="1" operator="endsWith" text="FR">
      <formula>RIGHT(D5,LEN("FR"))="FR"</formula>
    </cfRule>
    <cfRule type="endsWith" dxfId="4" priority="46" stopIfTrue="1" operator="endsWith" text="AS">
      <formula>RIGHT(D5,LEN("AS"))="AS"</formula>
    </cfRule>
    <cfRule type="endsWith" dxfId="3" priority="47" stopIfTrue="1" operator="endsWith" text="ET">
      <formula>RIGHT(D5,LEN("ET"))="ET"</formula>
    </cfRule>
    <cfRule type="endsWith" dxfId="2" priority="48" stopIfTrue="1" operator="endsWith" text="NF">
      <formula>RIGHT(D5,LEN("NF"))="NF"</formula>
    </cfRule>
    <cfRule type="endsWith" dxfId="1" priority="49" stopIfTrue="1" operator="endsWith" text="八援">
      <formula>RIGHT(D5,LEN("八援"))="八援"</formula>
    </cfRule>
    <cfRule type="endsWith" dxfId="0" priority="50" stopIfTrue="1" operator="endsWith" text="UN">
      <formula>RIGHT(D5,LEN("UN"))="UN"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6" r:id="rId4" name="CalendarBox">
          <controlPr defaultSize="0" autoLine="0" r:id="rId5">
            <anchor moveWithCells="1">
              <from>
                <xdr:col>0</xdr:col>
                <xdr:colOff>142875</xdr:colOff>
                <xdr:row>1</xdr:row>
                <xdr:rowOff>38100</xdr:rowOff>
              </from>
              <to>
                <xdr:col>2</xdr:col>
                <xdr:colOff>800100</xdr:colOff>
                <xdr:row>2</xdr:row>
                <xdr:rowOff>171450</xdr:rowOff>
              </to>
            </anchor>
          </controlPr>
        </control>
      </mc:Choice>
      <mc:Fallback>
        <control shapeId="1036" r:id="rId4" name="Calenda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5984D-8443-457B-8290-3A18A0A0FE83}">
  <sheetPr codeName="Sheet2"/>
  <dimension ref="A3:J34"/>
  <sheetViews>
    <sheetView zoomScale="60" zoomScaleNormal="60" workbookViewId="0">
      <selection activeCell="D15" sqref="D15"/>
    </sheetView>
  </sheetViews>
  <sheetFormatPr defaultColWidth="9" defaultRowHeight="15.95" customHeight="1" x14ac:dyDescent="0.4"/>
  <cols>
    <col min="1" max="2" width="5.625" style="1" customWidth="1"/>
    <col min="3" max="10" width="10.625" style="1" customWidth="1"/>
    <col min="11" max="16384" width="9" style="1"/>
  </cols>
  <sheetData>
    <row r="3" spans="1:10" ht="15.95" customHeight="1" thickBot="1" x14ac:dyDescent="0.45"/>
    <row r="4" spans="1:10" ht="15.95" customHeight="1" thickBot="1" x14ac:dyDescent="0.45">
      <c r="C4" s="25" t="s">
        <v>0</v>
      </c>
      <c r="D4" s="24" t="s">
        <v>1</v>
      </c>
      <c r="E4" s="24" t="s">
        <v>2</v>
      </c>
      <c r="F4" s="24" t="s">
        <v>3</v>
      </c>
      <c r="G4" s="24" t="s">
        <v>4</v>
      </c>
      <c r="H4" s="24" t="s">
        <v>5</v>
      </c>
      <c r="I4" s="24" t="s">
        <v>6</v>
      </c>
      <c r="J4" s="26" t="s">
        <v>6</v>
      </c>
    </row>
    <row r="5" spans="1:10" ht="15.95" customHeight="1" x14ac:dyDescent="0.4">
      <c r="A5" s="27">
        <v>45170</v>
      </c>
      <c r="B5" s="28">
        <v>45170</v>
      </c>
      <c r="C5" s="124"/>
      <c r="D5" s="2"/>
      <c r="E5" s="2"/>
      <c r="F5" s="2"/>
      <c r="G5" s="2"/>
      <c r="H5" s="2"/>
      <c r="I5" s="2"/>
      <c r="J5" s="78"/>
    </row>
    <row r="6" spans="1:10" ht="15.95" customHeight="1" x14ac:dyDescent="0.4">
      <c r="A6" s="29">
        <v>45171</v>
      </c>
      <c r="B6" s="30">
        <v>45171</v>
      </c>
      <c r="C6" s="125"/>
      <c r="D6" s="3" t="s">
        <v>7</v>
      </c>
      <c r="E6" s="3"/>
      <c r="F6" s="3"/>
      <c r="G6" s="3"/>
      <c r="H6" s="3"/>
      <c r="I6" s="3"/>
      <c r="J6" s="79"/>
    </row>
    <row r="7" spans="1:10" ht="15.95" customHeight="1" x14ac:dyDescent="0.4">
      <c r="A7" s="29">
        <v>45172</v>
      </c>
      <c r="B7" s="30">
        <v>45172</v>
      </c>
      <c r="C7" s="125"/>
      <c r="D7" s="3"/>
      <c r="E7" s="3"/>
      <c r="F7" s="3"/>
      <c r="G7" s="3"/>
      <c r="H7" s="3"/>
      <c r="I7" s="3"/>
      <c r="J7" s="79"/>
    </row>
    <row r="8" spans="1:10" ht="15.95" customHeight="1" x14ac:dyDescent="0.4">
      <c r="A8" s="29">
        <v>45173</v>
      </c>
      <c r="B8" s="30">
        <v>45173</v>
      </c>
      <c r="C8" s="125"/>
      <c r="D8" s="3"/>
      <c r="E8" s="3"/>
      <c r="F8" s="3"/>
      <c r="G8" s="3"/>
      <c r="H8" s="3"/>
      <c r="I8" s="3"/>
      <c r="J8" s="79"/>
    </row>
    <row r="9" spans="1:10" ht="15.95" customHeight="1" x14ac:dyDescent="0.4">
      <c r="A9" s="29">
        <v>45174</v>
      </c>
      <c r="B9" s="30">
        <v>45174</v>
      </c>
      <c r="C9" s="125"/>
      <c r="D9" s="3"/>
      <c r="E9" s="3"/>
      <c r="F9" s="3"/>
      <c r="G9" s="3"/>
      <c r="H9" s="3"/>
      <c r="I9" s="3"/>
      <c r="J9" s="79"/>
    </row>
    <row r="10" spans="1:10" ht="15.95" customHeight="1" x14ac:dyDescent="0.4">
      <c r="A10" s="29">
        <v>45175</v>
      </c>
      <c r="B10" s="30">
        <v>45175</v>
      </c>
      <c r="C10" s="125"/>
      <c r="D10" s="3"/>
      <c r="E10" s="3"/>
      <c r="F10" s="3"/>
      <c r="G10" s="3"/>
      <c r="H10" s="3"/>
      <c r="I10" s="3"/>
      <c r="J10" s="79"/>
    </row>
    <row r="11" spans="1:10" ht="15.95" customHeight="1" x14ac:dyDescent="0.4">
      <c r="A11" s="29">
        <v>45176</v>
      </c>
      <c r="B11" s="30">
        <v>45176</v>
      </c>
      <c r="C11" s="125"/>
      <c r="D11" s="3"/>
      <c r="E11" s="3"/>
      <c r="F11" s="3"/>
      <c r="G11" s="3"/>
      <c r="H11" s="3"/>
      <c r="I11" s="3"/>
      <c r="J11" s="79"/>
    </row>
    <row r="12" spans="1:10" ht="15.95" customHeight="1" x14ac:dyDescent="0.4">
      <c r="A12" s="29">
        <v>45177</v>
      </c>
      <c r="B12" s="30">
        <v>45177</v>
      </c>
      <c r="C12" s="125"/>
      <c r="D12" s="3"/>
      <c r="E12" s="3"/>
      <c r="F12" s="3"/>
      <c r="G12" s="3"/>
      <c r="H12" s="3"/>
      <c r="I12" s="3"/>
      <c r="J12" s="79"/>
    </row>
    <row r="13" spans="1:10" ht="15.95" customHeight="1" x14ac:dyDescent="0.4">
      <c r="A13" s="29">
        <v>45178</v>
      </c>
      <c r="B13" s="30">
        <v>45178</v>
      </c>
      <c r="C13" s="125"/>
      <c r="D13" s="3"/>
      <c r="E13" s="3"/>
      <c r="F13" s="3"/>
      <c r="G13" s="3"/>
      <c r="H13" s="3"/>
      <c r="I13" s="3"/>
      <c r="J13" s="79"/>
    </row>
    <row r="14" spans="1:10" ht="15.95" customHeight="1" x14ac:dyDescent="0.4">
      <c r="A14" s="29">
        <v>45179</v>
      </c>
      <c r="B14" s="30">
        <v>45179</v>
      </c>
      <c r="C14" s="125"/>
      <c r="D14" s="3"/>
      <c r="E14" s="3"/>
      <c r="F14" s="3"/>
      <c r="G14" s="3"/>
      <c r="H14" s="3"/>
      <c r="I14" s="3"/>
      <c r="J14" s="79"/>
    </row>
    <row r="15" spans="1:10" ht="15.95" customHeight="1" x14ac:dyDescent="0.4">
      <c r="A15" s="29">
        <v>45180</v>
      </c>
      <c r="B15" s="30">
        <v>45180</v>
      </c>
      <c r="C15" s="125"/>
      <c r="D15" s="3"/>
      <c r="E15" s="3"/>
      <c r="F15" s="3"/>
      <c r="G15" s="3"/>
      <c r="H15" s="3"/>
      <c r="I15" s="3"/>
      <c r="J15" s="79"/>
    </row>
    <row r="16" spans="1:10" ht="15.95" customHeight="1" x14ac:dyDescent="0.4">
      <c r="A16" s="29">
        <v>45181</v>
      </c>
      <c r="B16" s="30">
        <v>45181</v>
      </c>
      <c r="C16" s="125"/>
      <c r="D16" s="3"/>
      <c r="E16" s="3"/>
      <c r="F16" s="3"/>
      <c r="G16" s="3"/>
      <c r="H16" s="3"/>
      <c r="I16" s="3"/>
      <c r="J16" s="79"/>
    </row>
    <row r="17" spans="1:10" ht="15.95" customHeight="1" x14ac:dyDescent="0.4">
      <c r="A17" s="29">
        <v>45182</v>
      </c>
      <c r="B17" s="30">
        <v>45182</v>
      </c>
      <c r="C17" s="125"/>
      <c r="D17" s="3"/>
      <c r="E17" s="3"/>
      <c r="F17" s="3"/>
      <c r="G17" s="3"/>
      <c r="H17" s="3"/>
      <c r="I17" s="3"/>
      <c r="J17" s="79"/>
    </row>
    <row r="18" spans="1:10" ht="15.95" customHeight="1" x14ac:dyDescent="0.4">
      <c r="A18" s="29">
        <v>45183</v>
      </c>
      <c r="B18" s="30">
        <v>45183</v>
      </c>
      <c r="C18" s="125"/>
      <c r="D18" s="3"/>
      <c r="E18" s="3"/>
      <c r="F18" s="3"/>
      <c r="G18" s="3"/>
      <c r="H18" s="3"/>
      <c r="I18" s="3"/>
      <c r="J18" s="79"/>
    </row>
    <row r="19" spans="1:10" ht="15.95" customHeight="1" x14ac:dyDescent="0.4">
      <c r="A19" s="29">
        <v>45184</v>
      </c>
      <c r="B19" s="30">
        <v>45184</v>
      </c>
      <c r="C19" s="125"/>
      <c r="D19" s="3"/>
      <c r="E19" s="3"/>
      <c r="F19" s="3"/>
      <c r="G19" s="3"/>
      <c r="H19" s="3"/>
      <c r="I19" s="3"/>
      <c r="J19" s="79"/>
    </row>
    <row r="20" spans="1:10" ht="15.95" customHeight="1" x14ac:dyDescent="0.4">
      <c r="A20" s="29">
        <v>45185</v>
      </c>
      <c r="B20" s="30">
        <v>45185</v>
      </c>
      <c r="C20" s="125"/>
      <c r="D20" s="3"/>
      <c r="E20" s="3"/>
      <c r="F20" s="3"/>
      <c r="G20" s="3"/>
      <c r="H20" s="3"/>
      <c r="I20" s="3"/>
      <c r="J20" s="79"/>
    </row>
    <row r="21" spans="1:10" ht="15.95" customHeight="1" x14ac:dyDescent="0.4">
      <c r="A21" s="29">
        <v>45186</v>
      </c>
      <c r="B21" s="30">
        <v>45186</v>
      </c>
      <c r="C21" s="125"/>
      <c r="D21" s="3"/>
      <c r="E21" s="3"/>
      <c r="F21" s="3"/>
      <c r="G21" s="3"/>
      <c r="H21" s="3"/>
      <c r="I21" s="3"/>
      <c r="J21" s="79"/>
    </row>
    <row r="22" spans="1:10" ht="15.95" customHeight="1" x14ac:dyDescent="0.4">
      <c r="A22" s="29">
        <v>45187</v>
      </c>
      <c r="B22" s="30">
        <v>45187</v>
      </c>
      <c r="C22" s="125"/>
      <c r="D22" s="3"/>
      <c r="E22" s="3"/>
      <c r="F22" s="3"/>
      <c r="G22" s="3"/>
      <c r="H22" s="3"/>
      <c r="I22" s="3"/>
      <c r="J22" s="79"/>
    </row>
    <row r="23" spans="1:10" ht="15.95" customHeight="1" x14ac:dyDescent="0.4">
      <c r="A23" s="29">
        <v>45188</v>
      </c>
      <c r="B23" s="30">
        <v>45188</v>
      </c>
      <c r="C23" s="125"/>
      <c r="D23" s="3"/>
      <c r="E23" s="3"/>
      <c r="F23" s="3"/>
      <c r="G23" s="3"/>
      <c r="H23" s="3"/>
      <c r="I23" s="3"/>
      <c r="J23" s="79"/>
    </row>
    <row r="24" spans="1:10" ht="15.95" customHeight="1" x14ac:dyDescent="0.4">
      <c r="A24" s="29">
        <v>45189</v>
      </c>
      <c r="B24" s="30">
        <v>45189</v>
      </c>
      <c r="C24" s="125"/>
      <c r="D24" s="3"/>
      <c r="E24" s="3"/>
      <c r="F24" s="3"/>
      <c r="G24" s="3"/>
      <c r="H24" s="3"/>
      <c r="I24" s="3"/>
      <c r="J24" s="79"/>
    </row>
    <row r="25" spans="1:10" ht="15.95" customHeight="1" x14ac:dyDescent="0.4">
      <c r="A25" s="29">
        <v>45190</v>
      </c>
      <c r="B25" s="30">
        <v>45190</v>
      </c>
      <c r="C25" s="125"/>
      <c r="D25" s="3"/>
      <c r="E25" s="3"/>
      <c r="F25" s="3"/>
      <c r="G25" s="3"/>
      <c r="H25" s="3"/>
      <c r="I25" s="3"/>
      <c r="J25" s="79"/>
    </row>
    <row r="26" spans="1:10" ht="15.95" customHeight="1" x14ac:dyDescent="0.4">
      <c r="A26" s="29">
        <v>45191</v>
      </c>
      <c r="B26" s="30">
        <v>45191</v>
      </c>
      <c r="C26" s="125"/>
      <c r="D26" s="3"/>
      <c r="E26" s="3"/>
      <c r="F26" s="3"/>
      <c r="G26" s="3"/>
      <c r="H26" s="3"/>
      <c r="I26" s="3"/>
      <c r="J26" s="79"/>
    </row>
    <row r="27" spans="1:10" ht="15.95" customHeight="1" x14ac:dyDescent="0.4">
      <c r="A27" s="29">
        <v>45192</v>
      </c>
      <c r="B27" s="30">
        <v>45192</v>
      </c>
      <c r="C27" s="125"/>
      <c r="D27" s="3"/>
      <c r="E27" s="3"/>
      <c r="F27" s="3"/>
      <c r="G27" s="3"/>
      <c r="H27" s="3"/>
      <c r="I27" s="3"/>
      <c r="J27" s="79"/>
    </row>
    <row r="28" spans="1:10" ht="15.95" customHeight="1" x14ac:dyDescent="0.4">
      <c r="A28" s="29">
        <v>45193</v>
      </c>
      <c r="B28" s="30">
        <v>45193</v>
      </c>
      <c r="C28" s="125"/>
      <c r="D28" s="3"/>
      <c r="E28" s="3"/>
      <c r="F28" s="3"/>
      <c r="G28" s="3"/>
      <c r="H28" s="3"/>
      <c r="I28" s="3"/>
      <c r="J28" s="79"/>
    </row>
    <row r="29" spans="1:10" ht="15.95" customHeight="1" x14ac:dyDescent="0.4">
      <c r="A29" s="29">
        <v>45194</v>
      </c>
      <c r="B29" s="30">
        <v>45194</v>
      </c>
      <c r="C29" s="125"/>
      <c r="D29" s="3"/>
      <c r="E29" s="3"/>
      <c r="F29" s="3"/>
      <c r="G29" s="3"/>
      <c r="H29" s="3"/>
      <c r="I29" s="3"/>
      <c r="J29" s="79"/>
    </row>
    <row r="30" spans="1:10" ht="15.95" customHeight="1" x14ac:dyDescent="0.4">
      <c r="A30" s="29">
        <v>45195</v>
      </c>
      <c r="B30" s="30">
        <v>45195</v>
      </c>
      <c r="C30" s="125"/>
      <c r="D30" s="3"/>
      <c r="E30" s="3"/>
      <c r="F30" s="3"/>
      <c r="G30" s="3"/>
      <c r="H30" s="3"/>
      <c r="I30" s="3"/>
      <c r="J30" s="79"/>
    </row>
    <row r="31" spans="1:10" ht="15.95" customHeight="1" x14ac:dyDescent="0.4">
      <c r="A31" s="29">
        <v>45196</v>
      </c>
      <c r="B31" s="30">
        <v>45196</v>
      </c>
      <c r="C31" s="125"/>
      <c r="D31" s="3"/>
      <c r="E31" s="3"/>
      <c r="F31" s="3"/>
      <c r="G31" s="3"/>
      <c r="H31" s="3"/>
      <c r="I31" s="3"/>
      <c r="J31" s="79"/>
    </row>
    <row r="32" spans="1:10" ht="15.95" customHeight="1" x14ac:dyDescent="0.4">
      <c r="A32" s="29">
        <v>45197</v>
      </c>
      <c r="B32" s="30">
        <v>45197</v>
      </c>
      <c r="C32" s="125"/>
      <c r="D32" s="3"/>
      <c r="E32" s="3"/>
      <c r="F32" s="3"/>
      <c r="G32" s="3"/>
      <c r="H32" s="3"/>
      <c r="I32" s="3"/>
      <c r="J32" s="79"/>
    </row>
    <row r="33" spans="1:10" ht="15.95" customHeight="1" x14ac:dyDescent="0.4">
      <c r="A33" s="29">
        <v>45198</v>
      </c>
      <c r="B33" s="30">
        <v>45198</v>
      </c>
      <c r="C33" s="125"/>
      <c r="D33" s="3"/>
      <c r="E33" s="3"/>
      <c r="F33" s="3"/>
      <c r="G33" s="3"/>
      <c r="H33" s="3"/>
      <c r="I33" s="3"/>
      <c r="J33" s="79"/>
    </row>
    <row r="34" spans="1:10" ht="15.95" customHeight="1" thickBot="1" x14ac:dyDescent="0.45">
      <c r="A34" s="31">
        <v>45199</v>
      </c>
      <c r="B34" s="32">
        <v>45199</v>
      </c>
      <c r="C34" s="6"/>
      <c r="D34" s="7"/>
      <c r="E34" s="7"/>
      <c r="F34" s="7"/>
      <c r="G34" s="7"/>
      <c r="H34" s="7"/>
      <c r="I34" s="7"/>
      <c r="J34" s="11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alendarBox">
          <controlPr defaultSize="0" autoLine="0" r:id="rId4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2</xdr:col>
                <xdr:colOff>419100</xdr:colOff>
                <xdr:row>2</xdr:row>
                <xdr:rowOff>123825</xdr:rowOff>
              </to>
            </anchor>
          </controlPr>
        </control>
      </mc:Choice>
      <mc:Fallback>
        <control shapeId="2049" r:id="rId3" name="Calendar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F792F-EBE2-4AD2-BEBD-B4ADDAEA5076}">
  <sheetPr codeName="Sheet3"/>
  <dimension ref="A1:Y87"/>
  <sheetViews>
    <sheetView zoomScale="60" zoomScaleNormal="60" workbookViewId="0">
      <pane xSplit="22" ySplit="9" topLeftCell="W19" activePane="bottomRight" state="frozenSplit"/>
      <selection pane="topRight" activeCell="W1" sqref="W1"/>
      <selection pane="bottomLeft" activeCell="A13" sqref="A13"/>
      <selection pane="bottomRight" activeCell="K9" sqref="K9"/>
    </sheetView>
  </sheetViews>
  <sheetFormatPr defaultColWidth="9" defaultRowHeight="20.100000000000001" customHeight="1" x14ac:dyDescent="0.4"/>
  <cols>
    <col min="1" max="1" width="5.625" style="1" customWidth="1"/>
    <col min="2" max="2" width="8.625" style="1" customWidth="1"/>
    <col min="3" max="3" width="10.625" style="1" customWidth="1"/>
    <col min="4" max="4" width="5.625" style="1" customWidth="1"/>
    <col min="5" max="25" width="6.625" style="1" customWidth="1"/>
    <col min="26" max="16384" width="9" style="1"/>
  </cols>
  <sheetData>
    <row r="1" spans="1:25" ht="50.1" customHeight="1" x14ac:dyDescent="0.4">
      <c r="E1" s="55" t="s">
        <v>8</v>
      </c>
      <c r="F1" s="56" t="s">
        <v>8</v>
      </c>
      <c r="G1" s="57" t="s">
        <v>8</v>
      </c>
      <c r="H1" s="56" t="s">
        <v>8</v>
      </c>
      <c r="I1" s="57" t="s">
        <v>8</v>
      </c>
      <c r="J1" s="56" t="s">
        <v>8</v>
      </c>
      <c r="K1" s="57" t="s">
        <v>8</v>
      </c>
      <c r="L1" s="56" t="s">
        <v>8</v>
      </c>
      <c r="M1" s="57" t="s">
        <v>8</v>
      </c>
      <c r="N1" s="56" t="s">
        <v>8</v>
      </c>
      <c r="O1" s="57" t="s">
        <v>8</v>
      </c>
      <c r="P1" s="56" t="s">
        <v>8</v>
      </c>
      <c r="Q1" s="57" t="s">
        <v>8</v>
      </c>
      <c r="R1" s="56" t="s">
        <v>8</v>
      </c>
      <c r="S1" s="58" t="s">
        <v>9</v>
      </c>
      <c r="T1" s="56" t="s">
        <v>9</v>
      </c>
      <c r="U1" s="58" t="s">
        <v>9</v>
      </c>
      <c r="V1" s="59" t="s">
        <v>10</v>
      </c>
      <c r="W1" s="56" t="s">
        <v>10</v>
      </c>
      <c r="X1" s="59" t="s">
        <v>10</v>
      </c>
      <c r="Y1" s="60" t="s">
        <v>10</v>
      </c>
    </row>
    <row r="2" spans="1:25" ht="99.95" customHeight="1" thickBot="1" x14ac:dyDescent="0.45">
      <c r="E2" s="52" t="s">
        <v>11</v>
      </c>
      <c r="F2" s="50" t="s">
        <v>12</v>
      </c>
      <c r="G2" s="51" t="s">
        <v>13</v>
      </c>
      <c r="H2" s="50" t="s">
        <v>14</v>
      </c>
      <c r="I2" s="51" t="s">
        <v>15</v>
      </c>
      <c r="J2" s="50" t="s">
        <v>16</v>
      </c>
      <c r="K2" s="51" t="s">
        <v>19</v>
      </c>
      <c r="L2" s="50" t="s">
        <v>20</v>
      </c>
      <c r="M2" s="51" t="s">
        <v>21</v>
      </c>
      <c r="N2" s="50" t="s">
        <v>22</v>
      </c>
      <c r="O2" s="51" t="s">
        <v>17</v>
      </c>
      <c r="P2" s="50" t="s">
        <v>18</v>
      </c>
      <c r="Q2" s="51" t="s">
        <v>23</v>
      </c>
      <c r="R2" s="50" t="s">
        <v>24</v>
      </c>
      <c r="S2" s="61" t="s">
        <v>25</v>
      </c>
      <c r="T2" s="50" t="s">
        <v>26</v>
      </c>
      <c r="U2" s="61" t="s">
        <v>27</v>
      </c>
      <c r="V2" s="53" t="s">
        <v>28</v>
      </c>
      <c r="W2" s="50" t="s">
        <v>29</v>
      </c>
      <c r="X2" s="53" t="s">
        <v>30</v>
      </c>
      <c r="Y2" s="54" t="s">
        <v>31</v>
      </c>
    </row>
    <row r="3" spans="1:25" ht="20.100000000000001" customHeight="1" x14ac:dyDescent="0.4">
      <c r="D3" s="75" t="s">
        <v>32</v>
      </c>
      <c r="E3" s="33">
        <f>COUNTIF($E$10:$E$87,"×")</f>
        <v>67</v>
      </c>
      <c r="F3" s="34">
        <f>COUNTIF($F$10:$F$87,"×")</f>
        <v>63</v>
      </c>
      <c r="G3" s="35">
        <f>COUNTIF($G$10:$G$87,"×")</f>
        <v>60</v>
      </c>
      <c r="H3" s="34">
        <f>COUNTIF($H$10:$H$87,"×")</f>
        <v>60</v>
      </c>
      <c r="I3" s="35">
        <f>COUNTIF($I$10:$I$87,"×")</f>
        <v>69</v>
      </c>
      <c r="J3" s="34">
        <f>COUNTIF($J$10:$J$87,"×")</f>
        <v>44</v>
      </c>
      <c r="K3" s="35">
        <f>COUNTIF($K$10:$K$87,"×")</f>
        <v>61</v>
      </c>
      <c r="L3" s="34">
        <f>COUNTIF($L$10:$L$87,"×")</f>
        <v>40</v>
      </c>
      <c r="M3" s="35">
        <f>COUNTIF($M$10:$M$87,"×")</f>
        <v>65</v>
      </c>
      <c r="N3" s="34">
        <f>COUNTIF($N$10:$N$87,"×")</f>
        <v>38</v>
      </c>
      <c r="O3" s="35">
        <f>COUNTIF($O$10:$O$87,"×")</f>
        <v>66</v>
      </c>
      <c r="P3" s="34">
        <f>COUNTIF($P$10:$P$87,"×")</f>
        <v>69</v>
      </c>
      <c r="Q3" s="35">
        <f>COUNTIF($Q$10:$Q$87,"×")</f>
        <v>78</v>
      </c>
      <c r="R3" s="34">
        <f>COUNTIF($R$10:$R$87,"×")</f>
        <v>77</v>
      </c>
      <c r="S3" s="36">
        <f>COUNTIF($S$10:$S$87,"×")</f>
        <v>64</v>
      </c>
      <c r="T3" s="34">
        <f>COUNTIF($T$10:$T$87,"×")</f>
        <v>68</v>
      </c>
      <c r="U3" s="36">
        <f>COUNTIF($U$10:$U$87,"×")</f>
        <v>66</v>
      </c>
      <c r="V3" s="37">
        <f>COUNTIF($V$10:$V$87,"×")</f>
        <v>64</v>
      </c>
      <c r="W3" s="34">
        <f>COUNTIF($W$10:$W$87,"×")</f>
        <v>68</v>
      </c>
      <c r="X3" s="37">
        <f>COUNTIF($X$10:$X$87,"×")</f>
        <v>67</v>
      </c>
      <c r="Y3" s="47">
        <f>COUNTIF($Y$10:$Y$87,"×")</f>
        <v>49</v>
      </c>
    </row>
    <row r="4" spans="1:25" ht="20.100000000000001" customHeight="1" x14ac:dyDescent="0.4">
      <c r="D4" s="76" t="s">
        <v>33</v>
      </c>
      <c r="E4" s="38">
        <f>COUNTIF($E$10:$E$87,"△")</f>
        <v>0</v>
      </c>
      <c r="F4" s="39">
        <f>COUNTIF($F$10:$F$87,"△")</f>
        <v>2</v>
      </c>
      <c r="G4" s="40">
        <f>COUNTIF($G$10:$G$87,"△")</f>
        <v>5</v>
      </c>
      <c r="H4" s="39">
        <f>COUNTIF($H$10:$H$87,"△")</f>
        <v>4</v>
      </c>
      <c r="I4" s="40">
        <f>COUNTIF($I$10:$I$87,"△")</f>
        <v>1</v>
      </c>
      <c r="J4" s="39">
        <f>COUNTIF($J$10:$J$87,"△")</f>
        <v>9</v>
      </c>
      <c r="K4" s="40">
        <f>COUNTIF($K$10:$K$87,"△")</f>
        <v>1</v>
      </c>
      <c r="L4" s="39">
        <f>COUNTIF($L$10:$L$87,"△")</f>
        <v>4</v>
      </c>
      <c r="M4" s="40">
        <f>COUNTIF($M$10:$M$87,"△")</f>
        <v>0</v>
      </c>
      <c r="N4" s="39">
        <f>COUNTIF($N$10:$N$87,"△")</f>
        <v>8</v>
      </c>
      <c r="O4" s="40">
        <f>COUNTIF($O$10:$O$87,"△")</f>
        <v>1</v>
      </c>
      <c r="P4" s="39">
        <f>COUNTIF($P$10:$P$87,"△")</f>
        <v>2</v>
      </c>
      <c r="Q4" s="40">
        <f>COUNTIF($Q$10:$Q$87,"△")</f>
        <v>0</v>
      </c>
      <c r="R4" s="39">
        <f>COUNTIF($R$10:$R$87,"△")</f>
        <v>0</v>
      </c>
      <c r="S4" s="41">
        <f>COUNTIF($S$10:$S$87,"△")</f>
        <v>0</v>
      </c>
      <c r="T4" s="39">
        <f>COUNTIF($T$10:$T$87,"△")</f>
        <v>0</v>
      </c>
      <c r="U4" s="41">
        <f>COUNTIF($U$10:$U$87,"△")</f>
        <v>0</v>
      </c>
      <c r="V4" s="42">
        <f>COUNTIF($V$10:$V$87,"△")</f>
        <v>0</v>
      </c>
      <c r="W4" s="39">
        <f>COUNTIF($W$10:$W$87,"△")</f>
        <v>0</v>
      </c>
      <c r="X4" s="42">
        <f>COUNTIF($X$10:$X$87,"△")</f>
        <v>0</v>
      </c>
      <c r="Y4" s="48">
        <f>COUNTIF($Y$10:$Y$87,"△")</f>
        <v>0</v>
      </c>
    </row>
    <row r="5" spans="1:25" ht="20.100000000000001" customHeight="1" x14ac:dyDescent="0.4">
      <c r="D5" s="76" t="s">
        <v>345</v>
      </c>
      <c r="E5" s="38">
        <f>COUNTIF($E$10:$E$87,"▲")</f>
        <v>1</v>
      </c>
      <c r="F5" s="39">
        <f>COUNTIF($F$10:$F$87,"▲")</f>
        <v>0</v>
      </c>
      <c r="G5" s="40">
        <f>COUNTIF($G$10:$G$87,"▲")</f>
        <v>0</v>
      </c>
      <c r="H5" s="39">
        <f>COUNTIF($H$10:$H$87,"▲")</f>
        <v>0</v>
      </c>
      <c r="I5" s="40">
        <f>COUNTIF($I$10:$I$87,"▲")</f>
        <v>0</v>
      </c>
      <c r="J5" s="39">
        <f>COUNTIF($J$10:$J$87,"▲")</f>
        <v>0</v>
      </c>
      <c r="K5" s="40">
        <f>COUNTIF($K$10:$K$87,"▲")</f>
        <v>0</v>
      </c>
      <c r="L5" s="39">
        <f>COUNTIF($L$10:$L$87,"▲")</f>
        <v>0</v>
      </c>
      <c r="M5" s="40">
        <f>COUNTIF($M$10:$M$87,"▲")</f>
        <v>5</v>
      </c>
      <c r="N5" s="39">
        <f>COUNTIF($N$10:$N$87,"▲")</f>
        <v>0</v>
      </c>
      <c r="O5" s="40">
        <f>COUNTIF($O$10:$O$87,"▲")</f>
        <v>0</v>
      </c>
      <c r="P5" s="39">
        <f>COUNTIF($P$10:$P$87,"▲")</f>
        <v>0</v>
      </c>
      <c r="Q5" s="40">
        <f>COUNTIF($Q$10:$Q$87,"▲")</f>
        <v>0</v>
      </c>
      <c r="R5" s="39">
        <f>COUNTIF($R$10:$R$87,"▲")</f>
        <v>0</v>
      </c>
      <c r="S5" s="41">
        <f>COUNTIF($S$10:$S$87,"▲")</f>
        <v>0</v>
      </c>
      <c r="T5" s="39">
        <f>COUNTIF($T$10:$T$87,"▲")</f>
        <v>0</v>
      </c>
      <c r="U5" s="41">
        <f>COUNTIF($U$10:$U$87,"▲")</f>
        <v>0</v>
      </c>
      <c r="V5" s="42">
        <f>COUNTIF($V$10:$V$87,"▲")</f>
        <v>0</v>
      </c>
      <c r="W5" s="39">
        <f>COUNTIF($W$10:$W$87,"▲")</f>
        <v>0</v>
      </c>
      <c r="X5" s="42">
        <f>COUNTIF($X$10:$X$87,"▲")</f>
        <v>0</v>
      </c>
      <c r="Y5" s="48">
        <f>COUNTIF($Y$10:$Y$87,"▲")</f>
        <v>0</v>
      </c>
    </row>
    <row r="6" spans="1:25" ht="20.100000000000001" customHeight="1" x14ac:dyDescent="0.4">
      <c r="D6" s="76" t="s">
        <v>34</v>
      </c>
      <c r="E6" s="38">
        <f>COUNTIF($E$10:$E$87,"〇")</f>
        <v>4</v>
      </c>
      <c r="F6" s="39">
        <f>COUNTIF($F$10:$F$87,"〇")</f>
        <v>10</v>
      </c>
      <c r="G6" s="40">
        <f>COUNTIF($G$10:$G$87,"〇")</f>
        <v>10</v>
      </c>
      <c r="H6" s="39">
        <f>COUNTIF($H$10:$H$87,"〇")</f>
        <v>11</v>
      </c>
      <c r="I6" s="40">
        <f>COUNTIF($I$10:$I$87,"〇")</f>
        <v>4</v>
      </c>
      <c r="J6" s="39">
        <f>COUNTIF($J$10:$J$87,"〇")</f>
        <v>19</v>
      </c>
      <c r="K6" s="40">
        <f>COUNTIF($K$10:$K$87,"〇")</f>
        <v>12</v>
      </c>
      <c r="L6" s="39">
        <f>COUNTIF($L$10:$L$87,"〇")</f>
        <v>27</v>
      </c>
      <c r="M6" s="40">
        <f>COUNTIF($M$10:$M$87,"〇")</f>
        <v>3</v>
      </c>
      <c r="N6" s="39">
        <f>COUNTIF($N$10:$N$87,"〇")</f>
        <v>32</v>
      </c>
      <c r="O6" s="40">
        <f>COUNTIF($O$10:$O$87,"〇")</f>
        <v>11</v>
      </c>
      <c r="P6" s="39">
        <f>COUNTIF($P$10:$P$87,"〇")</f>
        <v>7</v>
      </c>
      <c r="Q6" s="40">
        <f>COUNTIF($Q$10:$Q$87,"〇")</f>
        <v>0</v>
      </c>
      <c r="R6" s="39">
        <f>COUNTIF($R$10:$R$87,"〇")</f>
        <v>1</v>
      </c>
      <c r="S6" s="41">
        <f>COUNTIF($S$10:$S$87,"〇")</f>
        <v>14</v>
      </c>
      <c r="T6" s="39">
        <f>COUNTIF($T$10:$T$87,"〇")</f>
        <v>10</v>
      </c>
      <c r="U6" s="41">
        <f>COUNTIF($U$10:$U$87,"〇")</f>
        <v>12</v>
      </c>
      <c r="V6" s="42">
        <f>COUNTIF($V$10:$V$87,"〇")</f>
        <v>14</v>
      </c>
      <c r="W6" s="39">
        <f>COUNTIF($W$10:$W$87,"〇")</f>
        <v>10</v>
      </c>
      <c r="X6" s="42">
        <f>COUNTIF($X$10:$X$87,"〇")</f>
        <v>11</v>
      </c>
      <c r="Y6" s="48">
        <f>COUNTIF($Y$10:$Y$87,"〇")</f>
        <v>29</v>
      </c>
    </row>
    <row r="7" spans="1:25" ht="20.100000000000001" customHeight="1" x14ac:dyDescent="0.4">
      <c r="D7" s="76" t="s">
        <v>346</v>
      </c>
      <c r="E7" s="38">
        <f>COUNTIF($E$10:$E$87,"●")</f>
        <v>0</v>
      </c>
      <c r="F7" s="39">
        <f>COUNTIF($F$10:$F$87,"●")</f>
        <v>0</v>
      </c>
      <c r="G7" s="40">
        <f>COUNTIF($G$10:$G$87,"●")</f>
        <v>0</v>
      </c>
      <c r="H7" s="39">
        <f>COUNTIF($H$10:$H$87,"●")</f>
        <v>1</v>
      </c>
      <c r="I7" s="40">
        <f>COUNTIF($I$10:$I$87,"●")</f>
        <v>0</v>
      </c>
      <c r="J7" s="39">
        <f>COUNTIF($J$10:$J$87,"●")</f>
        <v>0</v>
      </c>
      <c r="K7" s="40">
        <f>COUNTIF($K$10:$K$87,"●")</f>
        <v>1</v>
      </c>
      <c r="L7" s="39">
        <f>COUNTIF($L$10:$L$87,"●")</f>
        <v>0</v>
      </c>
      <c r="M7" s="40">
        <f>COUNTIF($M$10:$M$87,"●")</f>
        <v>0</v>
      </c>
      <c r="N7" s="39">
        <f>COUNTIF($N$10:$N$87,"●")</f>
        <v>0</v>
      </c>
      <c r="O7" s="40">
        <f>COUNTIF($O$10:$O$87,"●")</f>
        <v>0</v>
      </c>
      <c r="P7" s="39">
        <f>COUNTIF($P$10:$P$87,"●")</f>
        <v>0</v>
      </c>
      <c r="Q7" s="40">
        <f>COUNTIF($Q$10:$Q$87,"●")</f>
        <v>0</v>
      </c>
      <c r="R7" s="39">
        <f>COUNTIF($R$10:$R$87,"●")</f>
        <v>0</v>
      </c>
      <c r="S7" s="41">
        <f>COUNTIF($S$10:$S$87,"●")</f>
        <v>0</v>
      </c>
      <c r="T7" s="39">
        <f>COUNTIF($T$10:$T$87,"●")</f>
        <v>0</v>
      </c>
      <c r="U7" s="41">
        <f>COUNTIF($U$10:$U$87,"●")</f>
        <v>0</v>
      </c>
      <c r="V7" s="42">
        <f>COUNTIF($V$10:$V$87,"●")</f>
        <v>0</v>
      </c>
      <c r="W7" s="39">
        <f>COUNTIF($W$10:$W$87,"●")</f>
        <v>0</v>
      </c>
      <c r="X7" s="42">
        <f>COUNTIF($X$10:$X$87,"●")</f>
        <v>0</v>
      </c>
      <c r="Y7" s="48">
        <f>COUNTIF($Y$10:$Y$87,"●")</f>
        <v>0</v>
      </c>
    </row>
    <row r="8" spans="1:25" ht="20.100000000000001" customHeight="1" x14ac:dyDescent="0.4">
      <c r="D8" s="76" t="s">
        <v>347</v>
      </c>
      <c r="E8" s="38">
        <f>COUNTIF($E$10:$E$87,"★")</f>
        <v>0</v>
      </c>
      <c r="F8" s="39">
        <f>COUNTIF($F$10:$F$87,"★")</f>
        <v>0</v>
      </c>
      <c r="G8" s="40">
        <f>COUNTIF($G$10:$G$87,"★")</f>
        <v>0</v>
      </c>
      <c r="H8" s="39">
        <f>COUNTIF($H$10:$H$87,"★")</f>
        <v>1</v>
      </c>
      <c r="I8" s="40">
        <f>COUNTIF($I$10:$I$87,"★")</f>
        <v>0</v>
      </c>
      <c r="J8" s="39">
        <f>COUNTIF($J$10:$J$87,"★")</f>
        <v>0</v>
      </c>
      <c r="K8" s="40">
        <f>COUNTIF($K$10:$K$87,"★")</f>
        <v>0</v>
      </c>
      <c r="L8" s="39">
        <f>COUNTIF($L$10:$L$87,"★")</f>
        <v>0</v>
      </c>
      <c r="M8" s="40">
        <f>COUNTIF($M$10:$M$87,"★")</f>
        <v>0</v>
      </c>
      <c r="N8" s="39">
        <f>COUNTIF($N$10:$N$87,"★")</f>
        <v>0</v>
      </c>
      <c r="O8" s="40">
        <f>COUNTIF($O$10:$O$87,"★")</f>
        <v>0</v>
      </c>
      <c r="P8" s="39">
        <f>COUNTIF($P$10:$P$87,"★")</f>
        <v>0</v>
      </c>
      <c r="Q8" s="40">
        <f>COUNTIF($Q$10:$Q$87,"★")</f>
        <v>0</v>
      </c>
      <c r="R8" s="39">
        <f>COUNTIF($R$10:$R$87,"★")</f>
        <v>0</v>
      </c>
      <c r="S8" s="41">
        <f>COUNTIF($S$10:$S$87,"★")</f>
        <v>0</v>
      </c>
      <c r="T8" s="39">
        <f>COUNTIF($T$10:$T$87,"★")</f>
        <v>0</v>
      </c>
      <c r="U8" s="41">
        <f>COUNTIF($U$10:$U$87,"★")</f>
        <v>0</v>
      </c>
      <c r="V8" s="42">
        <f>COUNTIF($V$10:$V$87,"★")</f>
        <v>0</v>
      </c>
      <c r="W8" s="39">
        <f>COUNTIF($W$10:$W$87,"★")</f>
        <v>0</v>
      </c>
      <c r="X8" s="42">
        <f>COUNTIF($X$10:$X$87,"★")</f>
        <v>0</v>
      </c>
      <c r="Y8" s="48">
        <f>COUNTIF($Y$10:$Y$87,"★")</f>
        <v>0</v>
      </c>
    </row>
    <row r="9" spans="1:25" ht="20.100000000000001" customHeight="1" thickBot="1" x14ac:dyDescent="0.45">
      <c r="D9" s="77" t="s">
        <v>35</v>
      </c>
      <c r="E9" s="62">
        <f>COUNTIF($E$10:$E$87,"◎")</f>
        <v>6</v>
      </c>
      <c r="F9" s="43">
        <f>COUNTIF($F$10:$F$87,"◎")</f>
        <v>3</v>
      </c>
      <c r="G9" s="44">
        <f>COUNTIF($G$10:$G$87,"◎")</f>
        <v>3</v>
      </c>
      <c r="H9" s="43">
        <f>COUNTIF($H$10:$H$87,"◎")</f>
        <v>1</v>
      </c>
      <c r="I9" s="44">
        <f>COUNTIF($I$10:$I$87,"◎")</f>
        <v>4</v>
      </c>
      <c r="J9" s="43">
        <f>COUNTIF($J$10:$J$87,"◎")</f>
        <v>6</v>
      </c>
      <c r="K9" s="44">
        <f>COUNTIF($K$10:$K$87,"◎")</f>
        <v>3</v>
      </c>
      <c r="L9" s="43">
        <f>COUNTIF($L$10:$L$87,"◎")</f>
        <v>7</v>
      </c>
      <c r="M9" s="44">
        <f>COUNTIF($M$10:$M$87,"◎")</f>
        <v>5</v>
      </c>
      <c r="N9" s="43">
        <f>COUNTIF($N$10:$N$87,"◎")</f>
        <v>0</v>
      </c>
      <c r="O9" s="44">
        <f>COUNTIF($O$10:$O$87,"◎")</f>
        <v>0</v>
      </c>
      <c r="P9" s="43">
        <f>COUNTIF($P$10:$P$87,"◎")</f>
        <v>0</v>
      </c>
      <c r="Q9" s="44">
        <f>COUNTIF($Q$10:$Q$87,"◎")</f>
        <v>0</v>
      </c>
      <c r="R9" s="43">
        <f>COUNTIF($R$10:$R$87,"◎")</f>
        <v>0</v>
      </c>
      <c r="S9" s="45">
        <f>COUNTIF($S$10:$S$87,"◎")</f>
        <v>0</v>
      </c>
      <c r="T9" s="43">
        <f>COUNTIF($T$10:$T$87,"◎")</f>
        <v>0</v>
      </c>
      <c r="U9" s="45">
        <f>COUNTIF($U$10:$U$87,"◎")</f>
        <v>0</v>
      </c>
      <c r="V9" s="46">
        <f>COUNTIF($V$10:$V$87,"◎")</f>
        <v>0</v>
      </c>
      <c r="W9" s="43">
        <f>COUNTIF($W$10:$W$87,"◎")</f>
        <v>0</v>
      </c>
      <c r="X9" s="46">
        <f>COUNTIF($X$10:$X$87,"◎")</f>
        <v>0</v>
      </c>
      <c r="Y9" s="49">
        <f>COUNTIF($Y$10:$Y$87,"◎")</f>
        <v>0</v>
      </c>
    </row>
    <row r="10" spans="1:25" ht="20.100000000000001" customHeight="1" x14ac:dyDescent="0.4">
      <c r="A10" s="8">
        <v>8</v>
      </c>
      <c r="B10" s="5" t="s">
        <v>59</v>
      </c>
      <c r="C10" s="5" t="s">
        <v>60</v>
      </c>
      <c r="D10" s="78" t="s">
        <v>61</v>
      </c>
      <c r="E10" s="33" t="s">
        <v>32</v>
      </c>
      <c r="F10" s="34" t="s">
        <v>34</v>
      </c>
      <c r="G10" s="35" t="s">
        <v>32</v>
      </c>
      <c r="H10" s="34" t="s">
        <v>32</v>
      </c>
      <c r="I10" s="35" t="s">
        <v>32</v>
      </c>
      <c r="J10" s="34" t="s">
        <v>34</v>
      </c>
      <c r="K10" s="35" t="s">
        <v>34</v>
      </c>
      <c r="L10" s="34" t="s">
        <v>35</v>
      </c>
      <c r="M10" s="35" t="s">
        <v>32</v>
      </c>
      <c r="N10" s="34" t="s">
        <v>34</v>
      </c>
      <c r="O10" s="35" t="s">
        <v>32</v>
      </c>
      <c r="P10" s="34" t="s">
        <v>32</v>
      </c>
      <c r="Q10" s="35" t="s">
        <v>32</v>
      </c>
      <c r="R10" s="34" t="s">
        <v>32</v>
      </c>
      <c r="S10" s="36" t="s">
        <v>32</v>
      </c>
      <c r="T10" s="34" t="s">
        <v>32</v>
      </c>
      <c r="U10" s="36" t="s">
        <v>34</v>
      </c>
      <c r="V10" s="37" t="s">
        <v>32</v>
      </c>
      <c r="W10" s="34" t="s">
        <v>32</v>
      </c>
      <c r="X10" s="37" t="s">
        <v>34</v>
      </c>
      <c r="Y10" s="47" t="s">
        <v>34</v>
      </c>
    </row>
    <row r="11" spans="1:25" ht="20.100000000000001" customHeight="1" x14ac:dyDescent="0.4">
      <c r="A11" s="9">
        <v>4</v>
      </c>
      <c r="B11" s="3" t="s">
        <v>36</v>
      </c>
      <c r="C11" s="3" t="s">
        <v>37</v>
      </c>
      <c r="D11" s="79" t="s">
        <v>38</v>
      </c>
      <c r="E11" s="38" t="s">
        <v>35</v>
      </c>
      <c r="F11" s="39" t="s">
        <v>32</v>
      </c>
      <c r="G11" s="40" t="s">
        <v>32</v>
      </c>
      <c r="H11" s="39" t="s">
        <v>32</v>
      </c>
      <c r="I11" s="40" t="s">
        <v>32</v>
      </c>
      <c r="J11" s="39" t="s">
        <v>32</v>
      </c>
      <c r="K11" s="40" t="s">
        <v>32</v>
      </c>
      <c r="L11" s="39" t="s">
        <v>32</v>
      </c>
      <c r="M11" s="40" t="s">
        <v>32</v>
      </c>
      <c r="N11" s="39" t="s">
        <v>33</v>
      </c>
      <c r="O11" s="40" t="s">
        <v>32</v>
      </c>
      <c r="P11" s="39" t="s">
        <v>32</v>
      </c>
      <c r="Q11" s="40" t="s">
        <v>32</v>
      </c>
      <c r="R11" s="39" t="s">
        <v>32</v>
      </c>
      <c r="S11" s="41" t="s">
        <v>32</v>
      </c>
      <c r="T11" s="39" t="s">
        <v>32</v>
      </c>
      <c r="U11" s="41" t="s">
        <v>32</v>
      </c>
      <c r="V11" s="42" t="s">
        <v>32</v>
      </c>
      <c r="W11" s="39" t="s">
        <v>32</v>
      </c>
      <c r="X11" s="42" t="s">
        <v>32</v>
      </c>
      <c r="Y11" s="48" t="s">
        <v>32</v>
      </c>
    </row>
    <row r="12" spans="1:25" ht="20.100000000000001" customHeight="1" x14ac:dyDescent="0.4">
      <c r="A12" s="9">
        <v>20</v>
      </c>
      <c r="B12" s="3" t="s">
        <v>39</v>
      </c>
      <c r="C12" s="3" t="s">
        <v>40</v>
      </c>
      <c r="D12" s="79" t="s">
        <v>38</v>
      </c>
      <c r="E12" s="38" t="s">
        <v>35</v>
      </c>
      <c r="F12" s="39" t="s">
        <v>32</v>
      </c>
      <c r="G12" s="40" t="s">
        <v>32</v>
      </c>
      <c r="H12" s="39" t="s">
        <v>32</v>
      </c>
      <c r="I12" s="40" t="s">
        <v>32</v>
      </c>
      <c r="J12" s="39" t="s">
        <v>32</v>
      </c>
      <c r="K12" s="40" t="s">
        <v>32</v>
      </c>
      <c r="L12" s="39" t="s">
        <v>32</v>
      </c>
      <c r="M12" s="40" t="s">
        <v>32</v>
      </c>
      <c r="N12" s="39" t="s">
        <v>32</v>
      </c>
      <c r="O12" s="40" t="s">
        <v>32</v>
      </c>
      <c r="P12" s="39" t="s">
        <v>32</v>
      </c>
      <c r="Q12" s="40" t="s">
        <v>32</v>
      </c>
      <c r="R12" s="39" t="s">
        <v>32</v>
      </c>
      <c r="S12" s="41" t="s">
        <v>32</v>
      </c>
      <c r="T12" s="39" t="s">
        <v>32</v>
      </c>
      <c r="U12" s="41" t="s">
        <v>32</v>
      </c>
      <c r="V12" s="42" t="s">
        <v>32</v>
      </c>
      <c r="W12" s="39" t="s">
        <v>32</v>
      </c>
      <c r="X12" s="42" t="s">
        <v>32</v>
      </c>
      <c r="Y12" s="48" t="s">
        <v>32</v>
      </c>
    </row>
    <row r="13" spans="1:25" ht="20.100000000000001" customHeight="1" x14ac:dyDescent="0.4">
      <c r="A13" s="9">
        <v>32</v>
      </c>
      <c r="B13" s="3" t="s">
        <v>41</v>
      </c>
      <c r="C13" s="3" t="s">
        <v>42</v>
      </c>
      <c r="D13" s="79" t="s">
        <v>38</v>
      </c>
      <c r="E13" s="38" t="s">
        <v>35</v>
      </c>
      <c r="F13" s="39" t="s">
        <v>32</v>
      </c>
      <c r="G13" s="40" t="s">
        <v>32</v>
      </c>
      <c r="H13" s="39" t="s">
        <v>32</v>
      </c>
      <c r="I13" s="40" t="s">
        <v>32</v>
      </c>
      <c r="J13" s="39" t="s">
        <v>32</v>
      </c>
      <c r="K13" s="40" t="s">
        <v>32</v>
      </c>
      <c r="L13" s="39" t="s">
        <v>32</v>
      </c>
      <c r="M13" s="40" t="s">
        <v>32</v>
      </c>
      <c r="N13" s="39" t="s">
        <v>34</v>
      </c>
      <c r="O13" s="40" t="s">
        <v>32</v>
      </c>
      <c r="P13" s="39" t="s">
        <v>32</v>
      </c>
      <c r="Q13" s="40" t="s">
        <v>32</v>
      </c>
      <c r="R13" s="39" t="s">
        <v>32</v>
      </c>
      <c r="S13" s="41" t="s">
        <v>32</v>
      </c>
      <c r="T13" s="39" t="s">
        <v>32</v>
      </c>
      <c r="U13" s="41" t="s">
        <v>32</v>
      </c>
      <c r="V13" s="42" t="s">
        <v>32</v>
      </c>
      <c r="W13" s="39" t="s">
        <v>32</v>
      </c>
      <c r="X13" s="42" t="s">
        <v>32</v>
      </c>
      <c r="Y13" s="48" t="s">
        <v>32</v>
      </c>
    </row>
    <row r="14" spans="1:25" ht="20.100000000000001" customHeight="1" x14ac:dyDescent="0.4">
      <c r="A14" s="13">
        <v>36</v>
      </c>
      <c r="B14" s="4" t="s">
        <v>43</v>
      </c>
      <c r="C14" s="4" t="s">
        <v>44</v>
      </c>
      <c r="D14" s="80" t="s">
        <v>38</v>
      </c>
      <c r="E14" s="62" t="s">
        <v>35</v>
      </c>
      <c r="F14" s="43" t="s">
        <v>32</v>
      </c>
      <c r="G14" s="44" t="s">
        <v>32</v>
      </c>
      <c r="H14" s="43" t="s">
        <v>32</v>
      </c>
      <c r="I14" s="44" t="s">
        <v>32</v>
      </c>
      <c r="J14" s="43" t="s">
        <v>33</v>
      </c>
      <c r="K14" s="44" t="s">
        <v>32</v>
      </c>
      <c r="L14" s="43" t="s">
        <v>32</v>
      </c>
      <c r="M14" s="44" t="s">
        <v>32</v>
      </c>
      <c r="N14" s="43" t="s">
        <v>33</v>
      </c>
      <c r="O14" s="44" t="s">
        <v>32</v>
      </c>
      <c r="P14" s="43" t="s">
        <v>32</v>
      </c>
      <c r="Q14" s="44" t="s">
        <v>32</v>
      </c>
      <c r="R14" s="43" t="s">
        <v>32</v>
      </c>
      <c r="S14" s="45" t="s">
        <v>32</v>
      </c>
      <c r="T14" s="43" t="s">
        <v>32</v>
      </c>
      <c r="U14" s="45" t="s">
        <v>32</v>
      </c>
      <c r="V14" s="46" t="s">
        <v>32</v>
      </c>
      <c r="W14" s="43" t="s">
        <v>32</v>
      </c>
      <c r="X14" s="46" t="s">
        <v>32</v>
      </c>
      <c r="Y14" s="49" t="s">
        <v>32</v>
      </c>
    </row>
    <row r="15" spans="1:25" ht="20.100000000000001" customHeight="1" x14ac:dyDescent="0.4">
      <c r="A15" s="22">
        <v>41</v>
      </c>
      <c r="B15" s="23" t="s">
        <v>45</v>
      </c>
      <c r="C15" s="23" t="s">
        <v>46</v>
      </c>
      <c r="D15" s="81" t="s">
        <v>38</v>
      </c>
      <c r="E15" s="63" t="s">
        <v>35</v>
      </c>
      <c r="F15" s="64" t="s">
        <v>32</v>
      </c>
      <c r="G15" s="65" t="s">
        <v>32</v>
      </c>
      <c r="H15" s="64" t="s">
        <v>32</v>
      </c>
      <c r="I15" s="65" t="s">
        <v>32</v>
      </c>
      <c r="J15" s="64" t="s">
        <v>33</v>
      </c>
      <c r="K15" s="65" t="s">
        <v>32</v>
      </c>
      <c r="L15" s="64" t="s">
        <v>32</v>
      </c>
      <c r="M15" s="65" t="s">
        <v>32</v>
      </c>
      <c r="N15" s="64" t="s">
        <v>33</v>
      </c>
      <c r="O15" s="65" t="s">
        <v>32</v>
      </c>
      <c r="P15" s="64" t="s">
        <v>32</v>
      </c>
      <c r="Q15" s="65" t="s">
        <v>32</v>
      </c>
      <c r="R15" s="64" t="s">
        <v>32</v>
      </c>
      <c r="S15" s="66" t="s">
        <v>32</v>
      </c>
      <c r="T15" s="64" t="s">
        <v>32</v>
      </c>
      <c r="U15" s="66" t="s">
        <v>32</v>
      </c>
      <c r="V15" s="67" t="s">
        <v>32</v>
      </c>
      <c r="W15" s="64" t="s">
        <v>32</v>
      </c>
      <c r="X15" s="67" t="s">
        <v>32</v>
      </c>
      <c r="Y15" s="68" t="s">
        <v>32</v>
      </c>
    </row>
    <row r="16" spans="1:25" ht="20.100000000000001" customHeight="1" x14ac:dyDescent="0.4">
      <c r="A16" s="12">
        <v>43</v>
      </c>
      <c r="B16" s="2" t="s">
        <v>47</v>
      </c>
      <c r="C16" s="2" t="s">
        <v>48</v>
      </c>
      <c r="D16" s="78" t="s">
        <v>38</v>
      </c>
      <c r="E16" s="69" t="s">
        <v>34</v>
      </c>
      <c r="F16" s="70" t="s">
        <v>32</v>
      </c>
      <c r="G16" s="71" t="s">
        <v>32</v>
      </c>
      <c r="H16" s="70" t="s">
        <v>32</v>
      </c>
      <c r="I16" s="71" t="s">
        <v>32</v>
      </c>
      <c r="J16" s="70" t="s">
        <v>34</v>
      </c>
      <c r="K16" s="71" t="s">
        <v>32</v>
      </c>
      <c r="L16" s="70" t="s">
        <v>34</v>
      </c>
      <c r="M16" s="71" t="s">
        <v>32</v>
      </c>
      <c r="N16" s="70" t="s">
        <v>34</v>
      </c>
      <c r="O16" s="71" t="s">
        <v>33</v>
      </c>
      <c r="P16" s="70" t="s">
        <v>32</v>
      </c>
      <c r="Q16" s="71" t="s">
        <v>32</v>
      </c>
      <c r="R16" s="70" t="s">
        <v>32</v>
      </c>
      <c r="S16" s="72" t="s">
        <v>32</v>
      </c>
      <c r="T16" s="70" t="s">
        <v>32</v>
      </c>
      <c r="U16" s="72" t="s">
        <v>32</v>
      </c>
      <c r="V16" s="73" t="s">
        <v>32</v>
      </c>
      <c r="W16" s="70" t="s">
        <v>32</v>
      </c>
      <c r="X16" s="73" t="s">
        <v>32</v>
      </c>
      <c r="Y16" s="74" t="s">
        <v>32</v>
      </c>
    </row>
    <row r="17" spans="1:25" ht="20.100000000000001" customHeight="1" x14ac:dyDescent="0.4">
      <c r="A17" s="9">
        <v>90</v>
      </c>
      <c r="B17" s="3" t="s">
        <v>49</v>
      </c>
      <c r="C17" s="3" t="s">
        <v>50</v>
      </c>
      <c r="D17" s="79" t="s">
        <v>38</v>
      </c>
      <c r="E17" s="38" t="s">
        <v>32</v>
      </c>
      <c r="F17" s="39" t="s">
        <v>32</v>
      </c>
      <c r="G17" s="40" t="s">
        <v>32</v>
      </c>
      <c r="H17" s="39" t="s">
        <v>32</v>
      </c>
      <c r="I17" s="40" t="s">
        <v>32</v>
      </c>
      <c r="J17" s="39" t="s">
        <v>32</v>
      </c>
      <c r="K17" s="40" t="s">
        <v>32</v>
      </c>
      <c r="L17" s="39" t="s">
        <v>32</v>
      </c>
      <c r="M17" s="40" t="s">
        <v>32</v>
      </c>
      <c r="N17" s="39" t="s">
        <v>32</v>
      </c>
      <c r="O17" s="40" t="s">
        <v>32</v>
      </c>
      <c r="P17" s="39" t="s">
        <v>32</v>
      </c>
      <c r="Q17" s="40" t="s">
        <v>32</v>
      </c>
      <c r="R17" s="39" t="s">
        <v>32</v>
      </c>
      <c r="S17" s="41" t="s">
        <v>32</v>
      </c>
      <c r="T17" s="39" t="s">
        <v>32</v>
      </c>
      <c r="U17" s="41" t="s">
        <v>32</v>
      </c>
      <c r="V17" s="42" t="s">
        <v>32</v>
      </c>
      <c r="W17" s="39" t="s">
        <v>32</v>
      </c>
      <c r="X17" s="42" t="s">
        <v>32</v>
      </c>
      <c r="Y17" s="48" t="s">
        <v>32</v>
      </c>
    </row>
    <row r="18" spans="1:25" ht="20.100000000000001" customHeight="1" x14ac:dyDescent="0.4">
      <c r="A18" s="9">
        <v>54</v>
      </c>
      <c r="B18" s="3" t="s">
        <v>51</v>
      </c>
      <c r="C18" s="3" t="s">
        <v>52</v>
      </c>
      <c r="D18" s="79" t="s">
        <v>38</v>
      </c>
      <c r="E18" s="38" t="s">
        <v>32</v>
      </c>
      <c r="F18" s="39" t="s">
        <v>32</v>
      </c>
      <c r="G18" s="40" t="s">
        <v>32</v>
      </c>
      <c r="H18" s="39" t="s">
        <v>32</v>
      </c>
      <c r="I18" s="40" t="s">
        <v>32</v>
      </c>
      <c r="J18" s="39" t="s">
        <v>32</v>
      </c>
      <c r="K18" s="40" t="s">
        <v>32</v>
      </c>
      <c r="L18" s="39" t="s">
        <v>32</v>
      </c>
      <c r="M18" s="40" t="s">
        <v>32</v>
      </c>
      <c r="N18" s="39" t="s">
        <v>32</v>
      </c>
      <c r="O18" s="40" t="s">
        <v>32</v>
      </c>
      <c r="P18" s="39" t="s">
        <v>32</v>
      </c>
      <c r="Q18" s="40" t="s">
        <v>32</v>
      </c>
      <c r="R18" s="39" t="s">
        <v>32</v>
      </c>
      <c r="S18" s="41" t="s">
        <v>32</v>
      </c>
      <c r="T18" s="39" t="s">
        <v>32</v>
      </c>
      <c r="U18" s="41" t="s">
        <v>32</v>
      </c>
      <c r="V18" s="42" t="s">
        <v>32</v>
      </c>
      <c r="W18" s="39" t="s">
        <v>32</v>
      </c>
      <c r="X18" s="42" t="s">
        <v>32</v>
      </c>
      <c r="Y18" s="48" t="s">
        <v>32</v>
      </c>
    </row>
    <row r="19" spans="1:25" ht="20.100000000000001" customHeight="1" x14ac:dyDescent="0.4">
      <c r="A19" s="13">
        <v>56</v>
      </c>
      <c r="B19" s="4" t="s">
        <v>53</v>
      </c>
      <c r="C19" s="4" t="s">
        <v>54</v>
      </c>
      <c r="D19" s="80" t="s">
        <v>38</v>
      </c>
      <c r="E19" s="62" t="s">
        <v>32</v>
      </c>
      <c r="F19" s="43" t="s">
        <v>32</v>
      </c>
      <c r="G19" s="44" t="s">
        <v>32</v>
      </c>
      <c r="H19" s="43" t="s">
        <v>32</v>
      </c>
      <c r="I19" s="44" t="s">
        <v>32</v>
      </c>
      <c r="J19" s="43" t="s">
        <v>32</v>
      </c>
      <c r="K19" s="44" t="s">
        <v>32</v>
      </c>
      <c r="L19" s="43" t="s">
        <v>32</v>
      </c>
      <c r="M19" s="44" t="s">
        <v>32</v>
      </c>
      <c r="N19" s="43" t="s">
        <v>32</v>
      </c>
      <c r="O19" s="44" t="s">
        <v>32</v>
      </c>
      <c r="P19" s="43" t="s">
        <v>32</v>
      </c>
      <c r="Q19" s="44" t="s">
        <v>32</v>
      </c>
      <c r="R19" s="43" t="s">
        <v>32</v>
      </c>
      <c r="S19" s="45" t="s">
        <v>32</v>
      </c>
      <c r="T19" s="43" t="s">
        <v>32</v>
      </c>
      <c r="U19" s="45" t="s">
        <v>32</v>
      </c>
      <c r="V19" s="46" t="s">
        <v>32</v>
      </c>
      <c r="W19" s="43" t="s">
        <v>32</v>
      </c>
      <c r="X19" s="46" t="s">
        <v>32</v>
      </c>
      <c r="Y19" s="49" t="s">
        <v>32</v>
      </c>
    </row>
    <row r="20" spans="1:25" ht="20.100000000000001" customHeight="1" x14ac:dyDescent="0.4">
      <c r="A20" s="22">
        <v>62</v>
      </c>
      <c r="B20" s="23" t="s">
        <v>55</v>
      </c>
      <c r="C20" s="23" t="s">
        <v>56</v>
      </c>
      <c r="D20" s="81" t="s">
        <v>38</v>
      </c>
      <c r="E20" s="63" t="s">
        <v>32</v>
      </c>
      <c r="F20" s="64" t="s">
        <v>32</v>
      </c>
      <c r="G20" s="65" t="s">
        <v>32</v>
      </c>
      <c r="H20" s="64" t="s">
        <v>32</v>
      </c>
      <c r="I20" s="65" t="s">
        <v>32</v>
      </c>
      <c r="J20" s="64" t="s">
        <v>32</v>
      </c>
      <c r="K20" s="65" t="s">
        <v>32</v>
      </c>
      <c r="L20" s="64" t="s">
        <v>32</v>
      </c>
      <c r="M20" s="65" t="s">
        <v>32</v>
      </c>
      <c r="N20" s="64" t="s">
        <v>32</v>
      </c>
      <c r="O20" s="65" t="s">
        <v>32</v>
      </c>
      <c r="P20" s="64" t="s">
        <v>32</v>
      </c>
      <c r="Q20" s="65" t="s">
        <v>32</v>
      </c>
      <c r="R20" s="64" t="s">
        <v>32</v>
      </c>
      <c r="S20" s="66" t="s">
        <v>32</v>
      </c>
      <c r="T20" s="64" t="s">
        <v>32</v>
      </c>
      <c r="U20" s="66" t="s">
        <v>32</v>
      </c>
      <c r="V20" s="67" t="s">
        <v>32</v>
      </c>
      <c r="W20" s="64" t="s">
        <v>32</v>
      </c>
      <c r="X20" s="67" t="s">
        <v>32</v>
      </c>
      <c r="Y20" s="68" t="s">
        <v>32</v>
      </c>
    </row>
    <row r="21" spans="1:25" ht="20.100000000000001" customHeight="1" x14ac:dyDescent="0.4">
      <c r="A21" s="12">
        <v>66</v>
      </c>
      <c r="B21" s="2" t="s">
        <v>57</v>
      </c>
      <c r="C21" s="2" t="s">
        <v>58</v>
      </c>
      <c r="D21" s="78" t="s">
        <v>38</v>
      </c>
      <c r="E21" s="69" t="s">
        <v>32</v>
      </c>
      <c r="F21" s="70" t="s">
        <v>32</v>
      </c>
      <c r="G21" s="71" t="s">
        <v>32</v>
      </c>
      <c r="H21" s="70" t="s">
        <v>32</v>
      </c>
      <c r="I21" s="71" t="s">
        <v>32</v>
      </c>
      <c r="J21" s="70" t="s">
        <v>32</v>
      </c>
      <c r="K21" s="71" t="s">
        <v>32</v>
      </c>
      <c r="L21" s="70" t="s">
        <v>32</v>
      </c>
      <c r="M21" s="71" t="s">
        <v>32</v>
      </c>
      <c r="N21" s="70" t="s">
        <v>32</v>
      </c>
      <c r="O21" s="71" t="s">
        <v>32</v>
      </c>
      <c r="P21" s="70" t="s">
        <v>32</v>
      </c>
      <c r="Q21" s="71" t="s">
        <v>32</v>
      </c>
      <c r="R21" s="70" t="s">
        <v>32</v>
      </c>
      <c r="S21" s="72" t="s">
        <v>32</v>
      </c>
      <c r="T21" s="70" t="s">
        <v>32</v>
      </c>
      <c r="U21" s="72" t="s">
        <v>32</v>
      </c>
      <c r="V21" s="73" t="s">
        <v>32</v>
      </c>
      <c r="W21" s="70" t="s">
        <v>32</v>
      </c>
      <c r="X21" s="73" t="s">
        <v>32</v>
      </c>
      <c r="Y21" s="74" t="s">
        <v>32</v>
      </c>
    </row>
    <row r="22" spans="1:25" ht="20.100000000000001" customHeight="1" x14ac:dyDescent="0.4">
      <c r="A22" s="9">
        <v>15</v>
      </c>
      <c r="B22" s="3" t="s">
        <v>62</v>
      </c>
      <c r="C22" s="3" t="s">
        <v>63</v>
      </c>
      <c r="D22" s="79" t="s">
        <v>64</v>
      </c>
      <c r="E22" s="38" t="s">
        <v>32</v>
      </c>
      <c r="F22" s="39" t="s">
        <v>32</v>
      </c>
      <c r="G22" s="40" t="s">
        <v>34</v>
      </c>
      <c r="H22" s="39" t="s">
        <v>34</v>
      </c>
      <c r="I22" s="40" t="s">
        <v>32</v>
      </c>
      <c r="J22" s="39" t="s">
        <v>34</v>
      </c>
      <c r="K22" s="40" t="s">
        <v>35</v>
      </c>
      <c r="L22" s="39" t="s">
        <v>34</v>
      </c>
      <c r="M22" s="40" t="s">
        <v>32</v>
      </c>
      <c r="N22" s="39" t="s">
        <v>34</v>
      </c>
      <c r="O22" s="40" t="s">
        <v>32</v>
      </c>
      <c r="P22" s="39" t="s">
        <v>32</v>
      </c>
      <c r="Q22" s="40" t="s">
        <v>32</v>
      </c>
      <c r="R22" s="39" t="s">
        <v>32</v>
      </c>
      <c r="S22" s="41" t="s">
        <v>32</v>
      </c>
      <c r="T22" s="39" t="s">
        <v>32</v>
      </c>
      <c r="U22" s="41" t="s">
        <v>34</v>
      </c>
      <c r="V22" s="42" t="s">
        <v>32</v>
      </c>
      <c r="W22" s="39" t="s">
        <v>32</v>
      </c>
      <c r="X22" s="42" t="s">
        <v>34</v>
      </c>
      <c r="Y22" s="48" t="s">
        <v>34</v>
      </c>
    </row>
    <row r="23" spans="1:25" ht="20.100000000000001" customHeight="1" x14ac:dyDescent="0.4">
      <c r="A23" s="9">
        <v>19</v>
      </c>
      <c r="B23" s="3" t="s">
        <v>65</v>
      </c>
      <c r="C23" s="3" t="s">
        <v>66</v>
      </c>
      <c r="D23" s="79" t="s">
        <v>64</v>
      </c>
      <c r="E23" s="38" t="s">
        <v>32</v>
      </c>
      <c r="F23" s="39" t="s">
        <v>32</v>
      </c>
      <c r="G23" s="40" t="s">
        <v>32</v>
      </c>
      <c r="H23" s="39" t="s">
        <v>32</v>
      </c>
      <c r="I23" s="40" t="s">
        <v>32</v>
      </c>
      <c r="J23" s="39" t="s">
        <v>35</v>
      </c>
      <c r="K23" s="40" t="s">
        <v>34</v>
      </c>
      <c r="L23" s="39" t="s">
        <v>34</v>
      </c>
      <c r="M23" s="40" t="s">
        <v>32</v>
      </c>
      <c r="N23" s="39" t="s">
        <v>33</v>
      </c>
      <c r="O23" s="40" t="s">
        <v>34</v>
      </c>
      <c r="P23" s="39" t="s">
        <v>33</v>
      </c>
      <c r="Q23" s="40" t="s">
        <v>32</v>
      </c>
      <c r="R23" s="39" t="s">
        <v>32</v>
      </c>
      <c r="S23" s="41" t="s">
        <v>32</v>
      </c>
      <c r="T23" s="39" t="s">
        <v>32</v>
      </c>
      <c r="U23" s="41" t="s">
        <v>32</v>
      </c>
      <c r="V23" s="42" t="s">
        <v>32</v>
      </c>
      <c r="W23" s="39" t="s">
        <v>32</v>
      </c>
      <c r="X23" s="42" t="s">
        <v>32</v>
      </c>
      <c r="Y23" s="48" t="s">
        <v>32</v>
      </c>
    </row>
    <row r="24" spans="1:25" ht="20.100000000000001" customHeight="1" x14ac:dyDescent="0.4">
      <c r="A24" s="13">
        <v>28</v>
      </c>
      <c r="B24" s="4" t="s">
        <v>67</v>
      </c>
      <c r="C24" s="4" t="s">
        <v>7</v>
      </c>
      <c r="D24" s="80" t="s">
        <v>64</v>
      </c>
      <c r="E24" s="62" t="s">
        <v>32</v>
      </c>
      <c r="F24" s="43" t="s">
        <v>34</v>
      </c>
      <c r="G24" s="44" t="s">
        <v>32</v>
      </c>
      <c r="H24" s="43" t="s">
        <v>32</v>
      </c>
      <c r="I24" s="44" t="s">
        <v>32</v>
      </c>
      <c r="J24" s="43" t="s">
        <v>35</v>
      </c>
      <c r="K24" s="44" t="s">
        <v>33</v>
      </c>
      <c r="L24" s="43" t="s">
        <v>34</v>
      </c>
      <c r="M24" s="44" t="s">
        <v>32</v>
      </c>
      <c r="N24" s="43" t="s">
        <v>34</v>
      </c>
      <c r="O24" s="44" t="s">
        <v>32</v>
      </c>
      <c r="P24" s="43" t="s">
        <v>32</v>
      </c>
      <c r="Q24" s="44" t="s">
        <v>32</v>
      </c>
      <c r="R24" s="43" t="s">
        <v>32</v>
      </c>
      <c r="S24" s="45" t="s">
        <v>32</v>
      </c>
      <c r="T24" s="43" t="s">
        <v>34</v>
      </c>
      <c r="U24" s="45" t="s">
        <v>34</v>
      </c>
      <c r="V24" s="46" t="s">
        <v>32</v>
      </c>
      <c r="W24" s="43" t="s">
        <v>34</v>
      </c>
      <c r="X24" s="46" t="s">
        <v>34</v>
      </c>
      <c r="Y24" s="49" t="s">
        <v>34</v>
      </c>
    </row>
    <row r="25" spans="1:25" ht="20.100000000000001" customHeight="1" x14ac:dyDescent="0.4">
      <c r="A25" s="22">
        <v>29</v>
      </c>
      <c r="B25" s="23" t="s">
        <v>68</v>
      </c>
      <c r="C25" s="23" t="s">
        <v>69</v>
      </c>
      <c r="D25" s="81" t="s">
        <v>64</v>
      </c>
      <c r="E25" s="63" t="s">
        <v>32</v>
      </c>
      <c r="F25" s="64" t="s">
        <v>32</v>
      </c>
      <c r="G25" s="65" t="s">
        <v>32</v>
      </c>
      <c r="H25" s="64" t="s">
        <v>32</v>
      </c>
      <c r="I25" s="65" t="s">
        <v>32</v>
      </c>
      <c r="J25" s="64" t="s">
        <v>34</v>
      </c>
      <c r="K25" s="65" t="s">
        <v>34</v>
      </c>
      <c r="L25" s="64" t="s">
        <v>34</v>
      </c>
      <c r="M25" s="65" t="s">
        <v>32</v>
      </c>
      <c r="N25" s="64" t="s">
        <v>34</v>
      </c>
      <c r="O25" s="65" t="s">
        <v>34</v>
      </c>
      <c r="P25" s="64" t="s">
        <v>34</v>
      </c>
      <c r="Q25" s="65" t="s">
        <v>32</v>
      </c>
      <c r="R25" s="64" t="s">
        <v>32</v>
      </c>
      <c r="S25" s="66" t="s">
        <v>32</v>
      </c>
      <c r="T25" s="64" t="s">
        <v>32</v>
      </c>
      <c r="U25" s="66" t="s">
        <v>32</v>
      </c>
      <c r="V25" s="67" t="s">
        <v>32</v>
      </c>
      <c r="W25" s="64" t="s">
        <v>32</v>
      </c>
      <c r="X25" s="67" t="s">
        <v>32</v>
      </c>
      <c r="Y25" s="68" t="s">
        <v>34</v>
      </c>
    </row>
    <row r="26" spans="1:25" ht="20.100000000000001" customHeight="1" x14ac:dyDescent="0.4">
      <c r="A26" s="12">
        <v>47</v>
      </c>
      <c r="B26" s="2" t="s">
        <v>70</v>
      </c>
      <c r="C26" s="2" t="s">
        <v>71</v>
      </c>
      <c r="D26" s="78" t="s">
        <v>64</v>
      </c>
      <c r="E26" s="69" t="s">
        <v>32</v>
      </c>
      <c r="F26" s="70" t="s">
        <v>32</v>
      </c>
      <c r="G26" s="71" t="s">
        <v>33</v>
      </c>
      <c r="H26" s="70" t="s">
        <v>32</v>
      </c>
      <c r="I26" s="71" t="s">
        <v>33</v>
      </c>
      <c r="J26" s="70" t="s">
        <v>35</v>
      </c>
      <c r="K26" s="71" t="s">
        <v>34</v>
      </c>
      <c r="L26" s="70" t="s">
        <v>34</v>
      </c>
      <c r="M26" s="71" t="s">
        <v>32</v>
      </c>
      <c r="N26" s="70" t="s">
        <v>34</v>
      </c>
      <c r="O26" s="71" t="s">
        <v>34</v>
      </c>
      <c r="P26" s="70" t="s">
        <v>34</v>
      </c>
      <c r="Q26" s="71" t="s">
        <v>32</v>
      </c>
      <c r="R26" s="70" t="s">
        <v>32</v>
      </c>
      <c r="S26" s="72" t="s">
        <v>32</v>
      </c>
      <c r="T26" s="70" t="s">
        <v>32</v>
      </c>
      <c r="U26" s="72" t="s">
        <v>32</v>
      </c>
      <c r="V26" s="73" t="s">
        <v>32</v>
      </c>
      <c r="W26" s="70" t="s">
        <v>32</v>
      </c>
      <c r="X26" s="73" t="s">
        <v>32</v>
      </c>
      <c r="Y26" s="74" t="s">
        <v>34</v>
      </c>
    </row>
    <row r="27" spans="1:25" ht="20.100000000000001" customHeight="1" x14ac:dyDescent="0.4">
      <c r="A27" s="9">
        <v>74</v>
      </c>
      <c r="B27" s="3" t="s">
        <v>72</v>
      </c>
      <c r="C27" s="3" t="s">
        <v>73</v>
      </c>
      <c r="D27" s="79" t="s">
        <v>64</v>
      </c>
      <c r="E27" s="38" t="s">
        <v>32</v>
      </c>
      <c r="F27" s="39" t="s">
        <v>32</v>
      </c>
      <c r="G27" s="40" t="s">
        <v>32</v>
      </c>
      <c r="H27" s="39" t="s">
        <v>32</v>
      </c>
      <c r="I27" s="40" t="s">
        <v>32</v>
      </c>
      <c r="J27" s="39" t="s">
        <v>32</v>
      </c>
      <c r="K27" s="40" t="s">
        <v>32</v>
      </c>
      <c r="L27" s="39" t="s">
        <v>32</v>
      </c>
      <c r="M27" s="40" t="s">
        <v>32</v>
      </c>
      <c r="N27" s="39" t="s">
        <v>32</v>
      </c>
      <c r="O27" s="40" t="s">
        <v>32</v>
      </c>
      <c r="P27" s="39" t="s">
        <v>32</v>
      </c>
      <c r="Q27" s="40" t="s">
        <v>32</v>
      </c>
      <c r="R27" s="39" t="s">
        <v>32</v>
      </c>
      <c r="S27" s="41" t="s">
        <v>32</v>
      </c>
      <c r="T27" s="39" t="s">
        <v>32</v>
      </c>
      <c r="U27" s="41" t="s">
        <v>32</v>
      </c>
      <c r="V27" s="42" t="s">
        <v>32</v>
      </c>
      <c r="W27" s="39" t="s">
        <v>32</v>
      </c>
      <c r="X27" s="42" t="s">
        <v>32</v>
      </c>
      <c r="Y27" s="48" t="s">
        <v>32</v>
      </c>
    </row>
    <row r="28" spans="1:25" ht="20.100000000000001" customHeight="1" x14ac:dyDescent="0.4">
      <c r="A28" s="9">
        <v>85</v>
      </c>
      <c r="B28" s="3" t="s">
        <v>74</v>
      </c>
      <c r="C28" s="3" t="s">
        <v>75</v>
      </c>
      <c r="D28" s="79" t="s">
        <v>64</v>
      </c>
      <c r="E28" s="38" t="s">
        <v>32</v>
      </c>
      <c r="F28" s="39" t="s">
        <v>32</v>
      </c>
      <c r="G28" s="40" t="s">
        <v>32</v>
      </c>
      <c r="H28" s="39" t="s">
        <v>32</v>
      </c>
      <c r="I28" s="40" t="s">
        <v>32</v>
      </c>
      <c r="J28" s="39" t="s">
        <v>32</v>
      </c>
      <c r="K28" s="40" t="s">
        <v>32</v>
      </c>
      <c r="L28" s="39" t="s">
        <v>32</v>
      </c>
      <c r="M28" s="40" t="s">
        <v>32</v>
      </c>
      <c r="N28" s="39" t="s">
        <v>32</v>
      </c>
      <c r="O28" s="40" t="s">
        <v>32</v>
      </c>
      <c r="P28" s="39" t="s">
        <v>32</v>
      </c>
      <c r="Q28" s="40" t="s">
        <v>32</v>
      </c>
      <c r="R28" s="39" t="s">
        <v>32</v>
      </c>
      <c r="S28" s="41" t="s">
        <v>32</v>
      </c>
      <c r="T28" s="39" t="s">
        <v>32</v>
      </c>
      <c r="U28" s="41" t="s">
        <v>32</v>
      </c>
      <c r="V28" s="42" t="s">
        <v>32</v>
      </c>
      <c r="W28" s="39" t="s">
        <v>32</v>
      </c>
      <c r="X28" s="42" t="s">
        <v>32</v>
      </c>
      <c r="Y28" s="48" t="s">
        <v>32</v>
      </c>
    </row>
    <row r="29" spans="1:25" ht="20.100000000000001" customHeight="1" x14ac:dyDescent="0.4">
      <c r="A29" s="13">
        <v>82</v>
      </c>
      <c r="B29" s="4" t="s">
        <v>76</v>
      </c>
      <c r="C29" s="4" t="s">
        <v>77</v>
      </c>
      <c r="D29" s="80" t="s">
        <v>64</v>
      </c>
      <c r="E29" s="62" t="s">
        <v>32</v>
      </c>
      <c r="F29" s="43" t="s">
        <v>32</v>
      </c>
      <c r="G29" s="44" t="s">
        <v>32</v>
      </c>
      <c r="H29" s="43" t="s">
        <v>32</v>
      </c>
      <c r="I29" s="44" t="s">
        <v>32</v>
      </c>
      <c r="J29" s="43" t="s">
        <v>32</v>
      </c>
      <c r="K29" s="44" t="s">
        <v>32</v>
      </c>
      <c r="L29" s="43" t="s">
        <v>32</v>
      </c>
      <c r="M29" s="44" t="s">
        <v>32</v>
      </c>
      <c r="N29" s="43" t="s">
        <v>32</v>
      </c>
      <c r="O29" s="44" t="s">
        <v>32</v>
      </c>
      <c r="P29" s="43" t="s">
        <v>32</v>
      </c>
      <c r="Q29" s="44" t="s">
        <v>32</v>
      </c>
      <c r="R29" s="43" t="s">
        <v>32</v>
      </c>
      <c r="S29" s="45" t="s">
        <v>32</v>
      </c>
      <c r="T29" s="43" t="s">
        <v>32</v>
      </c>
      <c r="U29" s="45" t="s">
        <v>32</v>
      </c>
      <c r="V29" s="46" t="s">
        <v>32</v>
      </c>
      <c r="W29" s="43" t="s">
        <v>32</v>
      </c>
      <c r="X29" s="46" t="s">
        <v>32</v>
      </c>
      <c r="Y29" s="49" t="s">
        <v>32</v>
      </c>
    </row>
    <row r="30" spans="1:25" ht="20.100000000000001" customHeight="1" x14ac:dyDescent="0.4">
      <c r="A30" s="22">
        <v>94</v>
      </c>
      <c r="B30" s="23" t="s">
        <v>78</v>
      </c>
      <c r="C30" s="23" t="s">
        <v>79</v>
      </c>
      <c r="D30" s="81" t="s">
        <v>64</v>
      </c>
      <c r="E30" s="63" t="s">
        <v>32</v>
      </c>
      <c r="F30" s="64" t="s">
        <v>32</v>
      </c>
      <c r="G30" s="65" t="s">
        <v>32</v>
      </c>
      <c r="H30" s="64" t="s">
        <v>32</v>
      </c>
      <c r="I30" s="65" t="s">
        <v>32</v>
      </c>
      <c r="J30" s="64" t="s">
        <v>32</v>
      </c>
      <c r="K30" s="65" t="s">
        <v>32</v>
      </c>
      <c r="L30" s="64" t="s">
        <v>32</v>
      </c>
      <c r="M30" s="65" t="s">
        <v>32</v>
      </c>
      <c r="N30" s="64" t="s">
        <v>32</v>
      </c>
      <c r="O30" s="65" t="s">
        <v>32</v>
      </c>
      <c r="P30" s="64" t="s">
        <v>32</v>
      </c>
      <c r="Q30" s="65" t="s">
        <v>32</v>
      </c>
      <c r="R30" s="64" t="s">
        <v>32</v>
      </c>
      <c r="S30" s="66" t="s">
        <v>32</v>
      </c>
      <c r="T30" s="64" t="s">
        <v>32</v>
      </c>
      <c r="U30" s="66" t="s">
        <v>32</v>
      </c>
      <c r="V30" s="67" t="s">
        <v>32</v>
      </c>
      <c r="W30" s="64" t="s">
        <v>32</v>
      </c>
      <c r="X30" s="67" t="s">
        <v>32</v>
      </c>
      <c r="Y30" s="68" t="s">
        <v>32</v>
      </c>
    </row>
    <row r="31" spans="1:25" ht="20.100000000000001" customHeight="1" x14ac:dyDescent="0.4">
      <c r="A31" s="12">
        <v>79</v>
      </c>
      <c r="B31" s="2" t="s">
        <v>80</v>
      </c>
      <c r="C31" s="2" t="s">
        <v>81</v>
      </c>
      <c r="D31" s="78" t="s">
        <v>19</v>
      </c>
      <c r="E31" s="69" t="s">
        <v>32</v>
      </c>
      <c r="F31" s="70" t="s">
        <v>32</v>
      </c>
      <c r="G31" s="71" t="s">
        <v>32</v>
      </c>
      <c r="H31" s="70" t="s">
        <v>32</v>
      </c>
      <c r="I31" s="71" t="s">
        <v>32</v>
      </c>
      <c r="J31" s="70" t="s">
        <v>35</v>
      </c>
      <c r="K31" s="71" t="s">
        <v>346</v>
      </c>
      <c r="L31" s="70" t="s">
        <v>35</v>
      </c>
      <c r="M31" s="71" t="s">
        <v>32</v>
      </c>
      <c r="N31" s="70" t="s">
        <v>34</v>
      </c>
      <c r="O31" s="71" t="s">
        <v>32</v>
      </c>
      <c r="P31" s="70" t="s">
        <v>32</v>
      </c>
      <c r="Q31" s="71" t="s">
        <v>32</v>
      </c>
      <c r="R31" s="70" t="s">
        <v>32</v>
      </c>
      <c r="S31" s="72" t="s">
        <v>32</v>
      </c>
      <c r="T31" s="70" t="s">
        <v>32</v>
      </c>
      <c r="U31" s="72" t="s">
        <v>32</v>
      </c>
      <c r="V31" s="73" t="s">
        <v>32</v>
      </c>
      <c r="W31" s="70" t="s">
        <v>32</v>
      </c>
      <c r="X31" s="73" t="s">
        <v>32</v>
      </c>
      <c r="Y31" s="74" t="s">
        <v>34</v>
      </c>
    </row>
    <row r="32" spans="1:25" ht="20.100000000000001" customHeight="1" x14ac:dyDescent="0.4">
      <c r="A32" s="9">
        <v>98</v>
      </c>
      <c r="B32" s="3" t="s">
        <v>82</v>
      </c>
      <c r="C32" s="3" t="s">
        <v>83</v>
      </c>
      <c r="D32" s="79" t="s">
        <v>19</v>
      </c>
      <c r="E32" s="38" t="s">
        <v>32</v>
      </c>
      <c r="F32" s="39" t="s">
        <v>32</v>
      </c>
      <c r="G32" s="40" t="s">
        <v>32</v>
      </c>
      <c r="H32" s="39" t="s">
        <v>32</v>
      </c>
      <c r="I32" s="40" t="s">
        <v>32</v>
      </c>
      <c r="J32" s="39" t="s">
        <v>34</v>
      </c>
      <c r="K32" s="40" t="s">
        <v>32</v>
      </c>
      <c r="L32" s="39" t="s">
        <v>33</v>
      </c>
      <c r="M32" s="40" t="s">
        <v>32</v>
      </c>
      <c r="N32" s="39" t="s">
        <v>32</v>
      </c>
      <c r="O32" s="40" t="s">
        <v>32</v>
      </c>
      <c r="P32" s="39" t="s">
        <v>32</v>
      </c>
      <c r="Q32" s="40" t="s">
        <v>32</v>
      </c>
      <c r="R32" s="39" t="s">
        <v>32</v>
      </c>
      <c r="S32" s="41" t="s">
        <v>32</v>
      </c>
      <c r="T32" s="39" t="s">
        <v>32</v>
      </c>
      <c r="U32" s="41" t="s">
        <v>32</v>
      </c>
      <c r="V32" s="42" t="s">
        <v>32</v>
      </c>
      <c r="W32" s="39" t="s">
        <v>32</v>
      </c>
      <c r="X32" s="42" t="s">
        <v>32</v>
      </c>
      <c r="Y32" s="48" t="s">
        <v>34</v>
      </c>
    </row>
    <row r="33" spans="1:25" ht="20.100000000000001" customHeight="1" x14ac:dyDescent="0.4">
      <c r="A33" s="9">
        <v>95</v>
      </c>
      <c r="B33" s="3" t="s">
        <v>84</v>
      </c>
      <c r="C33" s="3" t="s">
        <v>85</v>
      </c>
      <c r="D33" s="79" t="s">
        <v>19</v>
      </c>
      <c r="E33" s="38" t="s">
        <v>32</v>
      </c>
      <c r="F33" s="39" t="s">
        <v>32</v>
      </c>
      <c r="G33" s="40" t="s">
        <v>32</v>
      </c>
      <c r="H33" s="39" t="s">
        <v>32</v>
      </c>
      <c r="I33" s="40" t="s">
        <v>32</v>
      </c>
      <c r="J33" s="39" t="s">
        <v>34</v>
      </c>
      <c r="K33" s="40" t="s">
        <v>34</v>
      </c>
      <c r="L33" s="39" t="s">
        <v>34</v>
      </c>
      <c r="M33" s="40" t="s">
        <v>32</v>
      </c>
      <c r="N33" s="39" t="s">
        <v>34</v>
      </c>
      <c r="O33" s="40" t="s">
        <v>34</v>
      </c>
      <c r="P33" s="39" t="s">
        <v>32</v>
      </c>
      <c r="Q33" s="40" t="s">
        <v>32</v>
      </c>
      <c r="R33" s="39" t="s">
        <v>32</v>
      </c>
      <c r="S33" s="41" t="s">
        <v>32</v>
      </c>
      <c r="T33" s="39" t="s">
        <v>32</v>
      </c>
      <c r="U33" s="41" t="s">
        <v>34</v>
      </c>
      <c r="V33" s="42" t="s">
        <v>32</v>
      </c>
      <c r="W33" s="39" t="s">
        <v>32</v>
      </c>
      <c r="X33" s="42" t="s">
        <v>34</v>
      </c>
      <c r="Y33" s="48" t="s">
        <v>34</v>
      </c>
    </row>
    <row r="34" spans="1:25" ht="20.100000000000001" customHeight="1" x14ac:dyDescent="0.4">
      <c r="A34" s="13">
        <v>30</v>
      </c>
      <c r="B34" s="4" t="s">
        <v>86</v>
      </c>
      <c r="C34" s="4" t="s">
        <v>87</v>
      </c>
      <c r="D34" s="80" t="s">
        <v>19</v>
      </c>
      <c r="E34" s="62" t="s">
        <v>32</v>
      </c>
      <c r="F34" s="43" t="s">
        <v>34</v>
      </c>
      <c r="G34" s="44" t="s">
        <v>33</v>
      </c>
      <c r="H34" s="43" t="s">
        <v>33</v>
      </c>
      <c r="I34" s="44" t="s">
        <v>32</v>
      </c>
      <c r="J34" s="43" t="s">
        <v>34</v>
      </c>
      <c r="K34" s="44" t="s">
        <v>34</v>
      </c>
      <c r="L34" s="43" t="s">
        <v>35</v>
      </c>
      <c r="M34" s="44" t="s">
        <v>345</v>
      </c>
      <c r="N34" s="43" t="s">
        <v>34</v>
      </c>
      <c r="O34" s="44" t="s">
        <v>32</v>
      </c>
      <c r="P34" s="43" t="s">
        <v>32</v>
      </c>
      <c r="Q34" s="44" t="s">
        <v>32</v>
      </c>
      <c r="R34" s="43" t="s">
        <v>32</v>
      </c>
      <c r="S34" s="45" t="s">
        <v>34</v>
      </c>
      <c r="T34" s="43" t="s">
        <v>34</v>
      </c>
      <c r="U34" s="45" t="s">
        <v>34</v>
      </c>
      <c r="V34" s="46" t="s">
        <v>34</v>
      </c>
      <c r="W34" s="43" t="s">
        <v>34</v>
      </c>
      <c r="X34" s="46" t="s">
        <v>34</v>
      </c>
      <c r="Y34" s="49" t="s">
        <v>34</v>
      </c>
    </row>
    <row r="35" spans="1:25" ht="20.100000000000001" customHeight="1" x14ac:dyDescent="0.4">
      <c r="A35" s="22">
        <v>72</v>
      </c>
      <c r="B35" s="23" t="s">
        <v>88</v>
      </c>
      <c r="C35" s="23" t="s">
        <v>89</v>
      </c>
      <c r="D35" s="81" t="s">
        <v>19</v>
      </c>
      <c r="E35" s="63" t="s">
        <v>32</v>
      </c>
      <c r="F35" s="64" t="s">
        <v>32</v>
      </c>
      <c r="G35" s="65" t="s">
        <v>32</v>
      </c>
      <c r="H35" s="64" t="s">
        <v>32</v>
      </c>
      <c r="I35" s="65" t="s">
        <v>32</v>
      </c>
      <c r="J35" s="64" t="s">
        <v>34</v>
      </c>
      <c r="K35" s="65" t="s">
        <v>35</v>
      </c>
      <c r="L35" s="64" t="s">
        <v>34</v>
      </c>
      <c r="M35" s="65" t="s">
        <v>32</v>
      </c>
      <c r="N35" s="64" t="s">
        <v>34</v>
      </c>
      <c r="O35" s="65" t="s">
        <v>32</v>
      </c>
      <c r="P35" s="64" t="s">
        <v>32</v>
      </c>
      <c r="Q35" s="65" t="s">
        <v>32</v>
      </c>
      <c r="R35" s="64" t="s">
        <v>32</v>
      </c>
      <c r="S35" s="66" t="s">
        <v>32</v>
      </c>
      <c r="T35" s="64" t="s">
        <v>32</v>
      </c>
      <c r="U35" s="66" t="s">
        <v>34</v>
      </c>
      <c r="V35" s="67" t="s">
        <v>32</v>
      </c>
      <c r="W35" s="64" t="s">
        <v>32</v>
      </c>
      <c r="X35" s="67" t="s">
        <v>34</v>
      </c>
      <c r="Y35" s="68" t="s">
        <v>34</v>
      </c>
    </row>
    <row r="36" spans="1:25" ht="20.100000000000001" customHeight="1" x14ac:dyDescent="0.4">
      <c r="A36" s="12">
        <v>35</v>
      </c>
      <c r="B36" s="2" t="s">
        <v>90</v>
      </c>
      <c r="C36" s="2" t="s">
        <v>91</v>
      </c>
      <c r="D36" s="78" t="s">
        <v>19</v>
      </c>
      <c r="E36" s="69" t="s">
        <v>32</v>
      </c>
      <c r="F36" s="70" t="s">
        <v>32</v>
      </c>
      <c r="G36" s="71" t="s">
        <v>32</v>
      </c>
      <c r="H36" s="70" t="s">
        <v>32</v>
      </c>
      <c r="I36" s="71" t="s">
        <v>32</v>
      </c>
      <c r="J36" s="70" t="s">
        <v>34</v>
      </c>
      <c r="K36" s="71" t="s">
        <v>35</v>
      </c>
      <c r="L36" s="70" t="s">
        <v>34</v>
      </c>
      <c r="M36" s="71" t="s">
        <v>34</v>
      </c>
      <c r="N36" s="70" t="s">
        <v>34</v>
      </c>
      <c r="O36" s="71" t="s">
        <v>32</v>
      </c>
      <c r="P36" s="70" t="s">
        <v>32</v>
      </c>
      <c r="Q36" s="71" t="s">
        <v>32</v>
      </c>
      <c r="R36" s="70" t="s">
        <v>32</v>
      </c>
      <c r="S36" s="72" t="s">
        <v>34</v>
      </c>
      <c r="T36" s="70" t="s">
        <v>32</v>
      </c>
      <c r="U36" s="72" t="s">
        <v>34</v>
      </c>
      <c r="V36" s="73" t="s">
        <v>34</v>
      </c>
      <c r="W36" s="70" t="s">
        <v>32</v>
      </c>
      <c r="X36" s="73" t="s">
        <v>34</v>
      </c>
      <c r="Y36" s="74" t="s">
        <v>34</v>
      </c>
    </row>
    <row r="37" spans="1:25" ht="20.100000000000001" customHeight="1" x14ac:dyDescent="0.4">
      <c r="A37" s="9">
        <v>58</v>
      </c>
      <c r="B37" s="3" t="s">
        <v>92</v>
      </c>
      <c r="C37" s="3" t="s">
        <v>93</v>
      </c>
      <c r="D37" s="79" t="s">
        <v>19</v>
      </c>
      <c r="E37" s="38" t="s">
        <v>32</v>
      </c>
      <c r="F37" s="39" t="s">
        <v>32</v>
      </c>
      <c r="G37" s="40" t="s">
        <v>32</v>
      </c>
      <c r="H37" s="39" t="s">
        <v>32</v>
      </c>
      <c r="I37" s="40" t="s">
        <v>32</v>
      </c>
      <c r="J37" s="39" t="s">
        <v>32</v>
      </c>
      <c r="K37" s="40" t="s">
        <v>32</v>
      </c>
      <c r="L37" s="39" t="s">
        <v>32</v>
      </c>
      <c r="M37" s="40" t="s">
        <v>32</v>
      </c>
      <c r="N37" s="39" t="s">
        <v>32</v>
      </c>
      <c r="O37" s="40" t="s">
        <v>32</v>
      </c>
      <c r="P37" s="39" t="s">
        <v>32</v>
      </c>
      <c r="Q37" s="40" t="s">
        <v>32</v>
      </c>
      <c r="R37" s="39" t="s">
        <v>32</v>
      </c>
      <c r="S37" s="41" t="s">
        <v>32</v>
      </c>
      <c r="T37" s="39" t="s">
        <v>32</v>
      </c>
      <c r="U37" s="41" t="s">
        <v>32</v>
      </c>
      <c r="V37" s="42" t="s">
        <v>32</v>
      </c>
      <c r="W37" s="39" t="s">
        <v>32</v>
      </c>
      <c r="X37" s="42" t="s">
        <v>32</v>
      </c>
      <c r="Y37" s="48" t="s">
        <v>32</v>
      </c>
    </row>
    <row r="38" spans="1:25" ht="20.100000000000001" customHeight="1" x14ac:dyDescent="0.4">
      <c r="A38" s="9">
        <v>91</v>
      </c>
      <c r="B38" s="3" t="s">
        <v>94</v>
      </c>
      <c r="C38" s="3" t="s">
        <v>95</v>
      </c>
      <c r="D38" s="79" t="s">
        <v>19</v>
      </c>
      <c r="E38" s="38" t="s">
        <v>32</v>
      </c>
      <c r="F38" s="39" t="s">
        <v>32</v>
      </c>
      <c r="G38" s="40" t="s">
        <v>32</v>
      </c>
      <c r="H38" s="39" t="s">
        <v>32</v>
      </c>
      <c r="I38" s="40" t="s">
        <v>32</v>
      </c>
      <c r="J38" s="39" t="s">
        <v>32</v>
      </c>
      <c r="K38" s="40" t="s">
        <v>32</v>
      </c>
      <c r="L38" s="39" t="s">
        <v>32</v>
      </c>
      <c r="M38" s="40" t="s">
        <v>32</v>
      </c>
      <c r="N38" s="39" t="s">
        <v>32</v>
      </c>
      <c r="O38" s="40" t="s">
        <v>32</v>
      </c>
      <c r="P38" s="39" t="s">
        <v>32</v>
      </c>
      <c r="Q38" s="40" t="s">
        <v>32</v>
      </c>
      <c r="R38" s="39" t="s">
        <v>32</v>
      </c>
      <c r="S38" s="41" t="s">
        <v>32</v>
      </c>
      <c r="T38" s="39" t="s">
        <v>32</v>
      </c>
      <c r="U38" s="41" t="s">
        <v>32</v>
      </c>
      <c r="V38" s="42" t="s">
        <v>32</v>
      </c>
      <c r="W38" s="39" t="s">
        <v>32</v>
      </c>
      <c r="X38" s="42" t="s">
        <v>32</v>
      </c>
      <c r="Y38" s="48" t="s">
        <v>32</v>
      </c>
    </row>
    <row r="39" spans="1:25" ht="20.100000000000001" customHeight="1" x14ac:dyDescent="0.4">
      <c r="A39" s="13">
        <v>78</v>
      </c>
      <c r="B39" s="4" t="s">
        <v>96</v>
      </c>
      <c r="C39" s="4" t="s">
        <v>97</v>
      </c>
      <c r="D39" s="80" t="s">
        <v>19</v>
      </c>
      <c r="E39" s="62" t="s">
        <v>32</v>
      </c>
      <c r="F39" s="43" t="s">
        <v>32</v>
      </c>
      <c r="G39" s="44" t="s">
        <v>32</v>
      </c>
      <c r="H39" s="43" t="s">
        <v>32</v>
      </c>
      <c r="I39" s="44" t="s">
        <v>32</v>
      </c>
      <c r="J39" s="43" t="s">
        <v>32</v>
      </c>
      <c r="K39" s="44" t="s">
        <v>32</v>
      </c>
      <c r="L39" s="43" t="s">
        <v>32</v>
      </c>
      <c r="M39" s="44" t="s">
        <v>32</v>
      </c>
      <c r="N39" s="43" t="s">
        <v>32</v>
      </c>
      <c r="O39" s="44" t="s">
        <v>32</v>
      </c>
      <c r="P39" s="43" t="s">
        <v>32</v>
      </c>
      <c r="Q39" s="44" t="s">
        <v>32</v>
      </c>
      <c r="R39" s="43" t="s">
        <v>32</v>
      </c>
      <c r="S39" s="45" t="s">
        <v>32</v>
      </c>
      <c r="T39" s="43" t="s">
        <v>32</v>
      </c>
      <c r="U39" s="45" t="s">
        <v>32</v>
      </c>
      <c r="V39" s="46" t="s">
        <v>32</v>
      </c>
      <c r="W39" s="43" t="s">
        <v>32</v>
      </c>
      <c r="X39" s="46" t="s">
        <v>32</v>
      </c>
      <c r="Y39" s="49" t="s">
        <v>32</v>
      </c>
    </row>
    <row r="40" spans="1:25" ht="20.100000000000001" customHeight="1" x14ac:dyDescent="0.4">
      <c r="A40" s="22">
        <v>87</v>
      </c>
      <c r="B40" s="23" t="s">
        <v>98</v>
      </c>
      <c r="C40" s="23" t="s">
        <v>99</v>
      </c>
      <c r="D40" s="81" t="s">
        <v>19</v>
      </c>
      <c r="E40" s="63" t="s">
        <v>32</v>
      </c>
      <c r="F40" s="64" t="s">
        <v>32</v>
      </c>
      <c r="G40" s="65" t="s">
        <v>32</v>
      </c>
      <c r="H40" s="64" t="s">
        <v>32</v>
      </c>
      <c r="I40" s="65" t="s">
        <v>32</v>
      </c>
      <c r="J40" s="64" t="s">
        <v>32</v>
      </c>
      <c r="K40" s="65" t="s">
        <v>32</v>
      </c>
      <c r="L40" s="64" t="s">
        <v>32</v>
      </c>
      <c r="M40" s="65" t="s">
        <v>32</v>
      </c>
      <c r="N40" s="64" t="s">
        <v>32</v>
      </c>
      <c r="O40" s="65" t="s">
        <v>32</v>
      </c>
      <c r="P40" s="64" t="s">
        <v>32</v>
      </c>
      <c r="Q40" s="65" t="s">
        <v>32</v>
      </c>
      <c r="R40" s="64" t="s">
        <v>32</v>
      </c>
      <c r="S40" s="66" t="s">
        <v>32</v>
      </c>
      <c r="T40" s="64" t="s">
        <v>32</v>
      </c>
      <c r="U40" s="66" t="s">
        <v>32</v>
      </c>
      <c r="V40" s="67" t="s">
        <v>32</v>
      </c>
      <c r="W40" s="64" t="s">
        <v>32</v>
      </c>
      <c r="X40" s="67" t="s">
        <v>32</v>
      </c>
      <c r="Y40" s="68" t="s">
        <v>32</v>
      </c>
    </row>
    <row r="41" spans="1:25" ht="20.100000000000001" customHeight="1" x14ac:dyDescent="0.4">
      <c r="A41" s="12">
        <v>11</v>
      </c>
      <c r="B41" s="2" t="s">
        <v>100</v>
      </c>
      <c r="C41" s="2" t="s">
        <v>101</v>
      </c>
      <c r="D41" s="78" t="s">
        <v>102</v>
      </c>
      <c r="E41" s="69" t="s">
        <v>32</v>
      </c>
      <c r="F41" s="70" t="s">
        <v>32</v>
      </c>
      <c r="G41" s="71" t="s">
        <v>32</v>
      </c>
      <c r="H41" s="70" t="s">
        <v>32</v>
      </c>
      <c r="I41" s="71" t="s">
        <v>32</v>
      </c>
      <c r="J41" s="70" t="s">
        <v>34</v>
      </c>
      <c r="K41" s="71" t="s">
        <v>34</v>
      </c>
      <c r="L41" s="70" t="s">
        <v>35</v>
      </c>
      <c r="M41" s="71" t="s">
        <v>32</v>
      </c>
      <c r="N41" s="70" t="s">
        <v>34</v>
      </c>
      <c r="O41" s="71" t="s">
        <v>32</v>
      </c>
      <c r="P41" s="70" t="s">
        <v>32</v>
      </c>
      <c r="Q41" s="71" t="s">
        <v>32</v>
      </c>
      <c r="R41" s="70" t="s">
        <v>32</v>
      </c>
      <c r="S41" s="72" t="s">
        <v>32</v>
      </c>
      <c r="T41" s="70" t="s">
        <v>32</v>
      </c>
      <c r="U41" s="72" t="s">
        <v>34</v>
      </c>
      <c r="V41" s="73" t="s">
        <v>32</v>
      </c>
      <c r="W41" s="70" t="s">
        <v>32</v>
      </c>
      <c r="X41" s="73" t="s">
        <v>34</v>
      </c>
      <c r="Y41" s="74" t="s">
        <v>34</v>
      </c>
    </row>
    <row r="42" spans="1:25" ht="20.100000000000001" customHeight="1" x14ac:dyDescent="0.4">
      <c r="A42" s="9">
        <v>18</v>
      </c>
      <c r="B42" s="3" t="s">
        <v>103</v>
      </c>
      <c r="C42" s="3" t="s">
        <v>104</v>
      </c>
      <c r="D42" s="79" t="s">
        <v>102</v>
      </c>
      <c r="E42" s="38" t="s">
        <v>32</v>
      </c>
      <c r="F42" s="39" t="s">
        <v>32</v>
      </c>
      <c r="G42" s="40" t="s">
        <v>34</v>
      </c>
      <c r="H42" s="39" t="s">
        <v>34</v>
      </c>
      <c r="I42" s="40" t="s">
        <v>34</v>
      </c>
      <c r="J42" s="39" t="s">
        <v>35</v>
      </c>
      <c r="K42" s="40" t="s">
        <v>32</v>
      </c>
      <c r="L42" s="39" t="s">
        <v>35</v>
      </c>
      <c r="M42" s="40" t="s">
        <v>32</v>
      </c>
      <c r="N42" s="39" t="s">
        <v>34</v>
      </c>
      <c r="O42" s="40" t="s">
        <v>34</v>
      </c>
      <c r="P42" s="39" t="s">
        <v>34</v>
      </c>
      <c r="Q42" s="40" t="s">
        <v>32</v>
      </c>
      <c r="R42" s="39" t="s">
        <v>32</v>
      </c>
      <c r="S42" s="41" t="s">
        <v>32</v>
      </c>
      <c r="T42" s="39" t="s">
        <v>32</v>
      </c>
      <c r="U42" s="41" t="s">
        <v>32</v>
      </c>
      <c r="V42" s="42" t="s">
        <v>32</v>
      </c>
      <c r="W42" s="39" t="s">
        <v>32</v>
      </c>
      <c r="X42" s="42" t="s">
        <v>32</v>
      </c>
      <c r="Y42" s="48" t="s">
        <v>34</v>
      </c>
    </row>
    <row r="43" spans="1:25" ht="20.100000000000001" customHeight="1" x14ac:dyDescent="0.4">
      <c r="A43" s="9">
        <v>22</v>
      </c>
      <c r="B43" s="3" t="s">
        <v>105</v>
      </c>
      <c r="C43" s="3" t="s">
        <v>106</v>
      </c>
      <c r="D43" s="79" t="s">
        <v>102</v>
      </c>
      <c r="E43" s="38" t="s">
        <v>32</v>
      </c>
      <c r="F43" s="39" t="s">
        <v>32</v>
      </c>
      <c r="G43" s="40" t="s">
        <v>32</v>
      </c>
      <c r="H43" s="39" t="s">
        <v>32</v>
      </c>
      <c r="I43" s="40" t="s">
        <v>32</v>
      </c>
      <c r="J43" s="39" t="s">
        <v>32</v>
      </c>
      <c r="K43" s="40" t="s">
        <v>34</v>
      </c>
      <c r="L43" s="39" t="s">
        <v>35</v>
      </c>
      <c r="M43" s="40" t="s">
        <v>32</v>
      </c>
      <c r="N43" s="39" t="s">
        <v>33</v>
      </c>
      <c r="O43" s="40" t="s">
        <v>32</v>
      </c>
      <c r="P43" s="39" t="s">
        <v>32</v>
      </c>
      <c r="Q43" s="40" t="s">
        <v>32</v>
      </c>
      <c r="R43" s="39" t="s">
        <v>32</v>
      </c>
      <c r="S43" s="41" t="s">
        <v>32</v>
      </c>
      <c r="T43" s="39" t="s">
        <v>32</v>
      </c>
      <c r="U43" s="41" t="s">
        <v>34</v>
      </c>
      <c r="V43" s="42" t="s">
        <v>32</v>
      </c>
      <c r="W43" s="39" t="s">
        <v>32</v>
      </c>
      <c r="X43" s="42" t="s">
        <v>34</v>
      </c>
      <c r="Y43" s="48" t="s">
        <v>34</v>
      </c>
    </row>
    <row r="44" spans="1:25" ht="20.100000000000001" customHeight="1" x14ac:dyDescent="0.4">
      <c r="A44" s="13">
        <v>24</v>
      </c>
      <c r="B44" s="4" t="s">
        <v>107</v>
      </c>
      <c r="C44" s="4" t="s">
        <v>108</v>
      </c>
      <c r="D44" s="80" t="s">
        <v>102</v>
      </c>
      <c r="E44" s="62" t="s">
        <v>32</v>
      </c>
      <c r="F44" s="43" t="s">
        <v>32</v>
      </c>
      <c r="G44" s="44" t="s">
        <v>32</v>
      </c>
      <c r="H44" s="43" t="s">
        <v>32</v>
      </c>
      <c r="I44" s="44" t="s">
        <v>32</v>
      </c>
      <c r="J44" s="43" t="s">
        <v>35</v>
      </c>
      <c r="K44" s="44" t="s">
        <v>34</v>
      </c>
      <c r="L44" s="43" t="s">
        <v>34</v>
      </c>
      <c r="M44" s="44" t="s">
        <v>32</v>
      </c>
      <c r="N44" s="43" t="s">
        <v>34</v>
      </c>
      <c r="O44" s="44" t="s">
        <v>34</v>
      </c>
      <c r="P44" s="43" t="s">
        <v>33</v>
      </c>
      <c r="Q44" s="44" t="s">
        <v>32</v>
      </c>
      <c r="R44" s="43" t="s">
        <v>32</v>
      </c>
      <c r="S44" s="45" t="s">
        <v>32</v>
      </c>
      <c r="T44" s="43" t="s">
        <v>32</v>
      </c>
      <c r="U44" s="45" t="s">
        <v>32</v>
      </c>
      <c r="V44" s="46" t="s">
        <v>32</v>
      </c>
      <c r="W44" s="43" t="s">
        <v>32</v>
      </c>
      <c r="X44" s="46" t="s">
        <v>32</v>
      </c>
      <c r="Y44" s="49" t="s">
        <v>32</v>
      </c>
    </row>
    <row r="45" spans="1:25" ht="20.100000000000001" customHeight="1" x14ac:dyDescent="0.4">
      <c r="A45" s="22">
        <v>33</v>
      </c>
      <c r="B45" s="23" t="s">
        <v>109</v>
      </c>
      <c r="C45" s="23" t="s">
        <v>110</v>
      </c>
      <c r="D45" s="81" t="s">
        <v>102</v>
      </c>
      <c r="E45" s="63" t="s">
        <v>32</v>
      </c>
      <c r="F45" s="64" t="s">
        <v>34</v>
      </c>
      <c r="G45" s="65" t="s">
        <v>34</v>
      </c>
      <c r="H45" s="64" t="s">
        <v>34</v>
      </c>
      <c r="I45" s="65" t="s">
        <v>32</v>
      </c>
      <c r="J45" s="64" t="s">
        <v>33</v>
      </c>
      <c r="K45" s="65" t="s">
        <v>32</v>
      </c>
      <c r="L45" s="64" t="s">
        <v>35</v>
      </c>
      <c r="M45" s="65" t="s">
        <v>345</v>
      </c>
      <c r="N45" s="64" t="s">
        <v>34</v>
      </c>
      <c r="O45" s="65" t="s">
        <v>32</v>
      </c>
      <c r="P45" s="64" t="s">
        <v>32</v>
      </c>
      <c r="Q45" s="65" t="s">
        <v>32</v>
      </c>
      <c r="R45" s="64" t="s">
        <v>32</v>
      </c>
      <c r="S45" s="66" t="s">
        <v>34</v>
      </c>
      <c r="T45" s="64" t="s">
        <v>34</v>
      </c>
      <c r="U45" s="66" t="s">
        <v>32</v>
      </c>
      <c r="V45" s="67" t="s">
        <v>34</v>
      </c>
      <c r="W45" s="64" t="s">
        <v>34</v>
      </c>
      <c r="X45" s="67" t="s">
        <v>32</v>
      </c>
      <c r="Y45" s="68" t="s">
        <v>34</v>
      </c>
    </row>
    <row r="46" spans="1:25" ht="20.100000000000001" customHeight="1" x14ac:dyDescent="0.4">
      <c r="A46" s="12">
        <v>49</v>
      </c>
      <c r="B46" s="2" t="s">
        <v>111</v>
      </c>
      <c r="C46" s="2" t="s">
        <v>112</v>
      </c>
      <c r="D46" s="78" t="s">
        <v>102</v>
      </c>
      <c r="E46" s="69" t="s">
        <v>32</v>
      </c>
      <c r="F46" s="70" t="s">
        <v>32</v>
      </c>
      <c r="G46" s="71" t="s">
        <v>32</v>
      </c>
      <c r="H46" s="70" t="s">
        <v>32</v>
      </c>
      <c r="I46" s="71" t="s">
        <v>32</v>
      </c>
      <c r="J46" s="70" t="s">
        <v>32</v>
      </c>
      <c r="K46" s="71" t="s">
        <v>32</v>
      </c>
      <c r="L46" s="70" t="s">
        <v>32</v>
      </c>
      <c r="M46" s="71" t="s">
        <v>32</v>
      </c>
      <c r="N46" s="70" t="s">
        <v>32</v>
      </c>
      <c r="O46" s="71" t="s">
        <v>32</v>
      </c>
      <c r="P46" s="70" t="s">
        <v>32</v>
      </c>
      <c r="Q46" s="71" t="s">
        <v>32</v>
      </c>
      <c r="R46" s="70" t="s">
        <v>32</v>
      </c>
      <c r="S46" s="72" t="s">
        <v>32</v>
      </c>
      <c r="T46" s="70" t="s">
        <v>32</v>
      </c>
      <c r="U46" s="72" t="s">
        <v>32</v>
      </c>
      <c r="V46" s="73" t="s">
        <v>32</v>
      </c>
      <c r="W46" s="70" t="s">
        <v>32</v>
      </c>
      <c r="X46" s="73" t="s">
        <v>32</v>
      </c>
      <c r="Y46" s="74" t="s">
        <v>32</v>
      </c>
    </row>
    <row r="47" spans="1:25" ht="20.100000000000001" customHeight="1" x14ac:dyDescent="0.4">
      <c r="A47" s="9">
        <v>65</v>
      </c>
      <c r="B47" s="3" t="s">
        <v>113</v>
      </c>
      <c r="C47" s="3" t="s">
        <v>114</v>
      </c>
      <c r="D47" s="79" t="s">
        <v>102</v>
      </c>
      <c r="E47" s="38" t="s">
        <v>32</v>
      </c>
      <c r="F47" s="39" t="s">
        <v>32</v>
      </c>
      <c r="G47" s="40" t="s">
        <v>32</v>
      </c>
      <c r="H47" s="39" t="s">
        <v>32</v>
      </c>
      <c r="I47" s="40" t="s">
        <v>32</v>
      </c>
      <c r="J47" s="39" t="s">
        <v>32</v>
      </c>
      <c r="K47" s="40" t="s">
        <v>32</v>
      </c>
      <c r="L47" s="39" t="s">
        <v>32</v>
      </c>
      <c r="M47" s="40" t="s">
        <v>32</v>
      </c>
      <c r="N47" s="39" t="s">
        <v>32</v>
      </c>
      <c r="O47" s="40" t="s">
        <v>32</v>
      </c>
      <c r="P47" s="39" t="s">
        <v>32</v>
      </c>
      <c r="Q47" s="40" t="s">
        <v>32</v>
      </c>
      <c r="R47" s="39" t="s">
        <v>32</v>
      </c>
      <c r="S47" s="41" t="s">
        <v>32</v>
      </c>
      <c r="T47" s="39" t="s">
        <v>32</v>
      </c>
      <c r="U47" s="41" t="s">
        <v>32</v>
      </c>
      <c r="V47" s="42" t="s">
        <v>32</v>
      </c>
      <c r="W47" s="39" t="s">
        <v>32</v>
      </c>
      <c r="X47" s="42" t="s">
        <v>32</v>
      </c>
      <c r="Y47" s="48" t="s">
        <v>32</v>
      </c>
    </row>
    <row r="48" spans="1:25" ht="20.100000000000001" customHeight="1" x14ac:dyDescent="0.4">
      <c r="A48" s="9">
        <v>93</v>
      </c>
      <c r="B48" s="3" t="s">
        <v>115</v>
      </c>
      <c r="C48" s="3" t="s">
        <v>116</v>
      </c>
      <c r="D48" s="79" t="s">
        <v>102</v>
      </c>
      <c r="E48" s="38" t="s">
        <v>32</v>
      </c>
      <c r="F48" s="39" t="s">
        <v>32</v>
      </c>
      <c r="G48" s="40" t="s">
        <v>32</v>
      </c>
      <c r="H48" s="39" t="s">
        <v>32</v>
      </c>
      <c r="I48" s="40" t="s">
        <v>32</v>
      </c>
      <c r="J48" s="39" t="s">
        <v>32</v>
      </c>
      <c r="K48" s="40" t="s">
        <v>32</v>
      </c>
      <c r="L48" s="39" t="s">
        <v>32</v>
      </c>
      <c r="M48" s="40" t="s">
        <v>32</v>
      </c>
      <c r="N48" s="39" t="s">
        <v>32</v>
      </c>
      <c r="O48" s="40" t="s">
        <v>32</v>
      </c>
      <c r="P48" s="39" t="s">
        <v>32</v>
      </c>
      <c r="Q48" s="40" t="s">
        <v>32</v>
      </c>
      <c r="R48" s="39" t="s">
        <v>32</v>
      </c>
      <c r="S48" s="41" t="s">
        <v>32</v>
      </c>
      <c r="T48" s="39" t="s">
        <v>32</v>
      </c>
      <c r="U48" s="41" t="s">
        <v>32</v>
      </c>
      <c r="V48" s="42" t="s">
        <v>32</v>
      </c>
      <c r="W48" s="39" t="s">
        <v>32</v>
      </c>
      <c r="X48" s="42" t="s">
        <v>32</v>
      </c>
      <c r="Y48" s="48" t="s">
        <v>32</v>
      </c>
    </row>
    <row r="49" spans="1:25" ht="20.100000000000001" customHeight="1" x14ac:dyDescent="0.4">
      <c r="A49" s="13">
        <v>97</v>
      </c>
      <c r="B49" s="4" t="s">
        <v>117</v>
      </c>
      <c r="C49" s="4" t="s">
        <v>118</v>
      </c>
      <c r="D49" s="80" t="s">
        <v>119</v>
      </c>
      <c r="E49" s="62" t="s">
        <v>32</v>
      </c>
      <c r="F49" s="43" t="s">
        <v>32</v>
      </c>
      <c r="G49" s="44" t="s">
        <v>33</v>
      </c>
      <c r="H49" s="43" t="s">
        <v>32</v>
      </c>
      <c r="I49" s="44" t="s">
        <v>32</v>
      </c>
      <c r="J49" s="43" t="s">
        <v>32</v>
      </c>
      <c r="K49" s="44" t="s">
        <v>32</v>
      </c>
      <c r="L49" s="43" t="s">
        <v>32</v>
      </c>
      <c r="M49" s="44" t="s">
        <v>32</v>
      </c>
      <c r="N49" s="43" t="s">
        <v>33</v>
      </c>
      <c r="O49" s="44" t="s">
        <v>32</v>
      </c>
      <c r="P49" s="43" t="s">
        <v>32</v>
      </c>
      <c r="Q49" s="44" t="s">
        <v>32</v>
      </c>
      <c r="R49" s="43" t="s">
        <v>32</v>
      </c>
      <c r="S49" s="45" t="s">
        <v>32</v>
      </c>
      <c r="T49" s="43" t="s">
        <v>32</v>
      </c>
      <c r="U49" s="45" t="s">
        <v>32</v>
      </c>
      <c r="V49" s="46" t="s">
        <v>32</v>
      </c>
      <c r="W49" s="43" t="s">
        <v>32</v>
      </c>
      <c r="X49" s="46" t="s">
        <v>32</v>
      </c>
      <c r="Y49" s="49" t="s">
        <v>32</v>
      </c>
    </row>
    <row r="50" spans="1:25" ht="20.100000000000001" customHeight="1" x14ac:dyDescent="0.4">
      <c r="A50" s="22">
        <v>23</v>
      </c>
      <c r="B50" s="23" t="s">
        <v>120</v>
      </c>
      <c r="C50" s="23" t="s">
        <v>121</v>
      </c>
      <c r="D50" s="81" t="s">
        <v>122</v>
      </c>
      <c r="E50" s="63" t="s">
        <v>35</v>
      </c>
      <c r="F50" s="64" t="s">
        <v>32</v>
      </c>
      <c r="G50" s="65" t="s">
        <v>32</v>
      </c>
      <c r="H50" s="64" t="s">
        <v>32</v>
      </c>
      <c r="I50" s="65" t="s">
        <v>32</v>
      </c>
      <c r="J50" s="64" t="s">
        <v>32</v>
      </c>
      <c r="K50" s="65" t="s">
        <v>32</v>
      </c>
      <c r="L50" s="64" t="s">
        <v>32</v>
      </c>
      <c r="M50" s="65" t="s">
        <v>32</v>
      </c>
      <c r="N50" s="64" t="s">
        <v>33</v>
      </c>
      <c r="O50" s="65" t="s">
        <v>32</v>
      </c>
      <c r="P50" s="64" t="s">
        <v>32</v>
      </c>
      <c r="Q50" s="65" t="s">
        <v>32</v>
      </c>
      <c r="R50" s="64" t="s">
        <v>32</v>
      </c>
      <c r="S50" s="66" t="s">
        <v>32</v>
      </c>
      <c r="T50" s="64" t="s">
        <v>32</v>
      </c>
      <c r="U50" s="66" t="s">
        <v>32</v>
      </c>
      <c r="V50" s="67" t="s">
        <v>32</v>
      </c>
      <c r="W50" s="64" t="s">
        <v>32</v>
      </c>
      <c r="X50" s="67" t="s">
        <v>32</v>
      </c>
      <c r="Y50" s="68" t="s">
        <v>32</v>
      </c>
    </row>
    <row r="51" spans="1:25" ht="20.100000000000001" customHeight="1" x14ac:dyDescent="0.4">
      <c r="A51" s="12">
        <v>5</v>
      </c>
      <c r="B51" s="2" t="s">
        <v>123</v>
      </c>
      <c r="C51" s="2" t="s">
        <v>124</v>
      </c>
      <c r="D51" s="78" t="s">
        <v>125</v>
      </c>
      <c r="E51" s="69" t="s">
        <v>34</v>
      </c>
      <c r="F51" s="70" t="s">
        <v>32</v>
      </c>
      <c r="G51" s="71" t="s">
        <v>32</v>
      </c>
      <c r="H51" s="70" t="s">
        <v>33</v>
      </c>
      <c r="I51" s="71" t="s">
        <v>32</v>
      </c>
      <c r="J51" s="70" t="s">
        <v>33</v>
      </c>
      <c r="K51" s="71" t="s">
        <v>32</v>
      </c>
      <c r="L51" s="70" t="s">
        <v>34</v>
      </c>
      <c r="M51" s="71" t="s">
        <v>32</v>
      </c>
      <c r="N51" s="70" t="s">
        <v>34</v>
      </c>
      <c r="O51" s="71" t="s">
        <v>32</v>
      </c>
      <c r="P51" s="70" t="s">
        <v>32</v>
      </c>
      <c r="Q51" s="71" t="s">
        <v>32</v>
      </c>
      <c r="R51" s="70" t="s">
        <v>32</v>
      </c>
      <c r="S51" s="72" t="s">
        <v>32</v>
      </c>
      <c r="T51" s="70" t="s">
        <v>32</v>
      </c>
      <c r="U51" s="72" t="s">
        <v>32</v>
      </c>
      <c r="V51" s="73" t="s">
        <v>32</v>
      </c>
      <c r="W51" s="70" t="s">
        <v>32</v>
      </c>
      <c r="X51" s="73" t="s">
        <v>32</v>
      </c>
      <c r="Y51" s="74" t="s">
        <v>32</v>
      </c>
    </row>
    <row r="52" spans="1:25" ht="20.100000000000001" customHeight="1" x14ac:dyDescent="0.4">
      <c r="A52" s="9">
        <v>7</v>
      </c>
      <c r="B52" s="3" t="s">
        <v>126</v>
      </c>
      <c r="C52" s="3" t="s">
        <v>127</v>
      </c>
      <c r="D52" s="79"/>
      <c r="E52" s="38" t="s">
        <v>32</v>
      </c>
      <c r="F52" s="39" t="s">
        <v>32</v>
      </c>
      <c r="G52" s="40" t="s">
        <v>33</v>
      </c>
      <c r="H52" s="39" t="s">
        <v>32</v>
      </c>
      <c r="I52" s="40" t="s">
        <v>32</v>
      </c>
      <c r="J52" s="39" t="s">
        <v>32</v>
      </c>
      <c r="K52" s="40" t="s">
        <v>32</v>
      </c>
      <c r="L52" s="39" t="s">
        <v>34</v>
      </c>
      <c r="M52" s="40" t="s">
        <v>35</v>
      </c>
      <c r="N52" s="39" t="s">
        <v>32</v>
      </c>
      <c r="O52" s="40" t="s">
        <v>32</v>
      </c>
      <c r="P52" s="39" t="s">
        <v>32</v>
      </c>
      <c r="Q52" s="40" t="s">
        <v>32</v>
      </c>
      <c r="R52" s="39" t="s">
        <v>32</v>
      </c>
      <c r="S52" s="41" t="s">
        <v>32</v>
      </c>
      <c r="T52" s="39" t="s">
        <v>32</v>
      </c>
      <c r="U52" s="41" t="s">
        <v>32</v>
      </c>
      <c r="V52" s="42" t="s">
        <v>32</v>
      </c>
      <c r="W52" s="39" t="s">
        <v>32</v>
      </c>
      <c r="X52" s="42" t="s">
        <v>32</v>
      </c>
      <c r="Y52" s="48" t="s">
        <v>32</v>
      </c>
    </row>
    <row r="53" spans="1:25" ht="20.100000000000001" customHeight="1" x14ac:dyDescent="0.4">
      <c r="A53" s="9">
        <v>9</v>
      </c>
      <c r="B53" s="3" t="s">
        <v>128</v>
      </c>
      <c r="C53" s="3" t="s">
        <v>129</v>
      </c>
      <c r="D53" s="79"/>
      <c r="E53" s="38" t="s">
        <v>32</v>
      </c>
      <c r="F53" s="39" t="s">
        <v>32</v>
      </c>
      <c r="G53" s="40" t="s">
        <v>32</v>
      </c>
      <c r="H53" s="39" t="s">
        <v>32</v>
      </c>
      <c r="I53" s="40" t="s">
        <v>32</v>
      </c>
      <c r="J53" s="39" t="s">
        <v>34</v>
      </c>
      <c r="K53" s="40" t="s">
        <v>32</v>
      </c>
      <c r="L53" s="39" t="s">
        <v>32</v>
      </c>
      <c r="M53" s="40" t="s">
        <v>32</v>
      </c>
      <c r="N53" s="39" t="s">
        <v>32</v>
      </c>
      <c r="O53" s="40" t="s">
        <v>32</v>
      </c>
      <c r="P53" s="39" t="s">
        <v>32</v>
      </c>
      <c r="Q53" s="40" t="s">
        <v>32</v>
      </c>
      <c r="R53" s="39" t="s">
        <v>32</v>
      </c>
      <c r="S53" s="41" t="s">
        <v>32</v>
      </c>
      <c r="T53" s="39" t="s">
        <v>32</v>
      </c>
      <c r="U53" s="41" t="s">
        <v>32</v>
      </c>
      <c r="V53" s="42" t="s">
        <v>32</v>
      </c>
      <c r="W53" s="39" t="s">
        <v>32</v>
      </c>
      <c r="X53" s="42" t="s">
        <v>32</v>
      </c>
      <c r="Y53" s="48" t="s">
        <v>32</v>
      </c>
    </row>
    <row r="54" spans="1:25" ht="20.100000000000001" customHeight="1" x14ac:dyDescent="0.4">
      <c r="A54" s="13">
        <v>10</v>
      </c>
      <c r="B54" s="4" t="s">
        <v>130</v>
      </c>
      <c r="C54" s="4" t="s">
        <v>131</v>
      </c>
      <c r="D54" s="80"/>
      <c r="E54" s="62" t="s">
        <v>32</v>
      </c>
      <c r="F54" s="43" t="s">
        <v>32</v>
      </c>
      <c r="G54" s="44" t="s">
        <v>35</v>
      </c>
      <c r="H54" s="43" t="s">
        <v>346</v>
      </c>
      <c r="I54" s="44" t="s">
        <v>32</v>
      </c>
      <c r="J54" s="43" t="s">
        <v>32</v>
      </c>
      <c r="K54" s="44" t="s">
        <v>32</v>
      </c>
      <c r="L54" s="43" t="s">
        <v>34</v>
      </c>
      <c r="M54" s="44" t="s">
        <v>32</v>
      </c>
      <c r="N54" s="43" t="s">
        <v>34</v>
      </c>
      <c r="O54" s="44" t="s">
        <v>32</v>
      </c>
      <c r="P54" s="43" t="s">
        <v>32</v>
      </c>
      <c r="Q54" s="44" t="s">
        <v>32</v>
      </c>
      <c r="R54" s="43" t="s">
        <v>32</v>
      </c>
      <c r="S54" s="45" t="s">
        <v>32</v>
      </c>
      <c r="T54" s="43" t="s">
        <v>32</v>
      </c>
      <c r="U54" s="45" t="s">
        <v>32</v>
      </c>
      <c r="V54" s="46" t="s">
        <v>32</v>
      </c>
      <c r="W54" s="43" t="s">
        <v>32</v>
      </c>
      <c r="X54" s="46" t="s">
        <v>32</v>
      </c>
      <c r="Y54" s="49" t="s">
        <v>34</v>
      </c>
    </row>
    <row r="55" spans="1:25" ht="20.100000000000001" customHeight="1" x14ac:dyDescent="0.4">
      <c r="A55" s="22">
        <v>12</v>
      </c>
      <c r="B55" s="23" t="s">
        <v>132</v>
      </c>
      <c r="C55" s="23" t="s">
        <v>133</v>
      </c>
      <c r="D55" s="81"/>
      <c r="E55" s="63" t="s">
        <v>345</v>
      </c>
      <c r="F55" s="64" t="s">
        <v>32</v>
      </c>
      <c r="G55" s="65" t="s">
        <v>32</v>
      </c>
      <c r="H55" s="64" t="s">
        <v>32</v>
      </c>
      <c r="I55" s="65" t="s">
        <v>35</v>
      </c>
      <c r="J55" s="64" t="s">
        <v>33</v>
      </c>
      <c r="K55" s="65" t="s">
        <v>32</v>
      </c>
      <c r="L55" s="64" t="s">
        <v>34</v>
      </c>
      <c r="M55" s="65" t="s">
        <v>32</v>
      </c>
      <c r="N55" s="64" t="s">
        <v>34</v>
      </c>
      <c r="O55" s="65" t="s">
        <v>32</v>
      </c>
      <c r="P55" s="64" t="s">
        <v>32</v>
      </c>
      <c r="Q55" s="65" t="s">
        <v>32</v>
      </c>
      <c r="R55" s="64" t="s">
        <v>32</v>
      </c>
      <c r="S55" s="66" t="s">
        <v>34</v>
      </c>
      <c r="T55" s="64" t="s">
        <v>32</v>
      </c>
      <c r="U55" s="66" t="s">
        <v>32</v>
      </c>
      <c r="V55" s="67" t="s">
        <v>34</v>
      </c>
      <c r="W55" s="64" t="s">
        <v>32</v>
      </c>
      <c r="X55" s="67" t="s">
        <v>32</v>
      </c>
      <c r="Y55" s="68" t="s">
        <v>34</v>
      </c>
    </row>
    <row r="56" spans="1:25" ht="20.100000000000001" customHeight="1" x14ac:dyDescent="0.4">
      <c r="A56" s="12">
        <v>13</v>
      </c>
      <c r="B56" s="2" t="s">
        <v>134</v>
      </c>
      <c r="C56" s="2" t="s">
        <v>135</v>
      </c>
      <c r="D56" s="78"/>
      <c r="E56" s="69" t="s">
        <v>32</v>
      </c>
      <c r="F56" s="70" t="s">
        <v>32</v>
      </c>
      <c r="G56" s="71" t="s">
        <v>32</v>
      </c>
      <c r="H56" s="70" t="s">
        <v>347</v>
      </c>
      <c r="I56" s="71" t="s">
        <v>34</v>
      </c>
      <c r="J56" s="70" t="s">
        <v>32</v>
      </c>
      <c r="K56" s="71" t="s">
        <v>32</v>
      </c>
      <c r="L56" s="70" t="s">
        <v>32</v>
      </c>
      <c r="M56" s="71" t="s">
        <v>32</v>
      </c>
      <c r="N56" s="70" t="s">
        <v>32</v>
      </c>
      <c r="O56" s="71" t="s">
        <v>32</v>
      </c>
      <c r="P56" s="70" t="s">
        <v>32</v>
      </c>
      <c r="Q56" s="71" t="s">
        <v>32</v>
      </c>
      <c r="R56" s="70" t="s">
        <v>32</v>
      </c>
      <c r="S56" s="72" t="s">
        <v>32</v>
      </c>
      <c r="T56" s="70" t="s">
        <v>32</v>
      </c>
      <c r="U56" s="72" t="s">
        <v>32</v>
      </c>
      <c r="V56" s="73" t="s">
        <v>32</v>
      </c>
      <c r="W56" s="70" t="s">
        <v>32</v>
      </c>
      <c r="X56" s="73" t="s">
        <v>32</v>
      </c>
      <c r="Y56" s="74" t="s">
        <v>32</v>
      </c>
    </row>
    <row r="57" spans="1:25" ht="20.100000000000001" customHeight="1" x14ac:dyDescent="0.4">
      <c r="A57" s="9">
        <v>14</v>
      </c>
      <c r="B57" s="3" t="s">
        <v>136</v>
      </c>
      <c r="C57" s="3" t="s">
        <v>137</v>
      </c>
      <c r="D57" s="79"/>
      <c r="E57" s="38" t="s">
        <v>32</v>
      </c>
      <c r="F57" s="39" t="s">
        <v>34</v>
      </c>
      <c r="G57" s="40" t="s">
        <v>32</v>
      </c>
      <c r="H57" s="39" t="s">
        <v>33</v>
      </c>
      <c r="I57" s="40" t="s">
        <v>32</v>
      </c>
      <c r="J57" s="39" t="s">
        <v>32</v>
      </c>
      <c r="K57" s="40" t="s">
        <v>32</v>
      </c>
      <c r="L57" s="39" t="s">
        <v>34</v>
      </c>
      <c r="M57" s="40" t="s">
        <v>32</v>
      </c>
      <c r="N57" s="39" t="s">
        <v>34</v>
      </c>
      <c r="O57" s="40" t="s">
        <v>32</v>
      </c>
      <c r="P57" s="39" t="s">
        <v>32</v>
      </c>
      <c r="Q57" s="40" t="s">
        <v>32</v>
      </c>
      <c r="R57" s="39" t="s">
        <v>32</v>
      </c>
      <c r="S57" s="41" t="s">
        <v>32</v>
      </c>
      <c r="T57" s="39" t="s">
        <v>32</v>
      </c>
      <c r="U57" s="41" t="s">
        <v>32</v>
      </c>
      <c r="V57" s="42" t="s">
        <v>32</v>
      </c>
      <c r="W57" s="39" t="s">
        <v>32</v>
      </c>
      <c r="X57" s="42" t="s">
        <v>32</v>
      </c>
      <c r="Y57" s="48" t="s">
        <v>32</v>
      </c>
    </row>
    <row r="58" spans="1:25" ht="20.100000000000001" customHeight="1" x14ac:dyDescent="0.4">
      <c r="A58" s="9">
        <v>16</v>
      </c>
      <c r="B58" s="3" t="s">
        <v>138</v>
      </c>
      <c r="C58" s="3" t="s">
        <v>139</v>
      </c>
      <c r="D58" s="79"/>
      <c r="E58" s="38" t="s">
        <v>34</v>
      </c>
      <c r="F58" s="39" t="s">
        <v>32</v>
      </c>
      <c r="G58" s="40" t="s">
        <v>32</v>
      </c>
      <c r="H58" s="39" t="s">
        <v>32</v>
      </c>
      <c r="I58" s="40" t="s">
        <v>32</v>
      </c>
      <c r="J58" s="39" t="s">
        <v>34</v>
      </c>
      <c r="K58" s="40" t="s">
        <v>32</v>
      </c>
      <c r="L58" s="39" t="s">
        <v>34</v>
      </c>
      <c r="M58" s="40" t="s">
        <v>32</v>
      </c>
      <c r="N58" s="39" t="s">
        <v>34</v>
      </c>
      <c r="O58" s="40" t="s">
        <v>32</v>
      </c>
      <c r="P58" s="39" t="s">
        <v>32</v>
      </c>
      <c r="Q58" s="40" t="s">
        <v>32</v>
      </c>
      <c r="R58" s="39" t="s">
        <v>32</v>
      </c>
      <c r="S58" s="41" t="s">
        <v>32</v>
      </c>
      <c r="T58" s="39" t="s">
        <v>32</v>
      </c>
      <c r="U58" s="41" t="s">
        <v>32</v>
      </c>
      <c r="V58" s="42" t="s">
        <v>32</v>
      </c>
      <c r="W58" s="39" t="s">
        <v>32</v>
      </c>
      <c r="X58" s="42" t="s">
        <v>32</v>
      </c>
      <c r="Y58" s="48" t="s">
        <v>32</v>
      </c>
    </row>
    <row r="59" spans="1:25" ht="20.100000000000001" customHeight="1" x14ac:dyDescent="0.4">
      <c r="A59" s="13">
        <v>17</v>
      </c>
      <c r="B59" s="4" t="s">
        <v>140</v>
      </c>
      <c r="C59" s="4" t="s">
        <v>141</v>
      </c>
      <c r="D59" s="80"/>
      <c r="E59" s="62" t="s">
        <v>34</v>
      </c>
      <c r="F59" s="43" t="s">
        <v>34</v>
      </c>
      <c r="G59" s="44" t="s">
        <v>34</v>
      </c>
      <c r="H59" s="43" t="s">
        <v>34</v>
      </c>
      <c r="I59" s="44" t="s">
        <v>35</v>
      </c>
      <c r="J59" s="43" t="s">
        <v>34</v>
      </c>
      <c r="K59" s="44" t="s">
        <v>32</v>
      </c>
      <c r="L59" s="43" t="s">
        <v>34</v>
      </c>
      <c r="M59" s="44" t="s">
        <v>32</v>
      </c>
      <c r="N59" s="43" t="s">
        <v>33</v>
      </c>
      <c r="O59" s="44" t="s">
        <v>34</v>
      </c>
      <c r="P59" s="43" t="s">
        <v>32</v>
      </c>
      <c r="Q59" s="44" t="s">
        <v>32</v>
      </c>
      <c r="R59" s="43" t="s">
        <v>32</v>
      </c>
      <c r="S59" s="45" t="s">
        <v>32</v>
      </c>
      <c r="T59" s="43" t="s">
        <v>32</v>
      </c>
      <c r="U59" s="45" t="s">
        <v>32</v>
      </c>
      <c r="V59" s="46" t="s">
        <v>32</v>
      </c>
      <c r="W59" s="43" t="s">
        <v>32</v>
      </c>
      <c r="X59" s="46" t="s">
        <v>32</v>
      </c>
      <c r="Y59" s="49" t="s">
        <v>34</v>
      </c>
    </row>
    <row r="60" spans="1:25" ht="20.100000000000001" customHeight="1" x14ac:dyDescent="0.4">
      <c r="A60" s="22">
        <v>89</v>
      </c>
      <c r="B60" s="23" t="s">
        <v>142</v>
      </c>
      <c r="C60" s="23" t="s">
        <v>143</v>
      </c>
      <c r="D60" s="81"/>
      <c r="E60" s="63" t="s">
        <v>32</v>
      </c>
      <c r="F60" s="64" t="s">
        <v>33</v>
      </c>
      <c r="G60" s="65" t="s">
        <v>34</v>
      </c>
      <c r="H60" s="64" t="s">
        <v>34</v>
      </c>
      <c r="I60" s="65" t="s">
        <v>32</v>
      </c>
      <c r="J60" s="64" t="s">
        <v>32</v>
      </c>
      <c r="K60" s="65" t="s">
        <v>32</v>
      </c>
      <c r="L60" s="64" t="s">
        <v>33</v>
      </c>
      <c r="M60" s="65" t="s">
        <v>32</v>
      </c>
      <c r="N60" s="64" t="s">
        <v>34</v>
      </c>
      <c r="O60" s="65" t="s">
        <v>32</v>
      </c>
      <c r="P60" s="64" t="s">
        <v>32</v>
      </c>
      <c r="Q60" s="65" t="s">
        <v>32</v>
      </c>
      <c r="R60" s="64" t="s">
        <v>32</v>
      </c>
      <c r="S60" s="66" t="s">
        <v>32</v>
      </c>
      <c r="T60" s="64" t="s">
        <v>34</v>
      </c>
      <c r="U60" s="66" t="s">
        <v>32</v>
      </c>
      <c r="V60" s="67" t="s">
        <v>32</v>
      </c>
      <c r="W60" s="64" t="s">
        <v>34</v>
      </c>
      <c r="X60" s="67" t="s">
        <v>32</v>
      </c>
      <c r="Y60" s="68" t="s">
        <v>34</v>
      </c>
    </row>
    <row r="61" spans="1:25" ht="20.100000000000001" customHeight="1" x14ac:dyDescent="0.4">
      <c r="A61" s="12">
        <v>26</v>
      </c>
      <c r="B61" s="2" t="s">
        <v>144</v>
      </c>
      <c r="C61" s="2" t="s">
        <v>145</v>
      </c>
      <c r="D61" s="78"/>
      <c r="E61" s="69" t="s">
        <v>32</v>
      </c>
      <c r="F61" s="70" t="s">
        <v>32</v>
      </c>
      <c r="G61" s="71" t="s">
        <v>32</v>
      </c>
      <c r="H61" s="70" t="s">
        <v>34</v>
      </c>
      <c r="I61" s="71" t="s">
        <v>32</v>
      </c>
      <c r="J61" s="70" t="s">
        <v>34</v>
      </c>
      <c r="K61" s="71" t="s">
        <v>32</v>
      </c>
      <c r="L61" s="70" t="s">
        <v>34</v>
      </c>
      <c r="M61" s="71" t="s">
        <v>35</v>
      </c>
      <c r="N61" s="70" t="s">
        <v>34</v>
      </c>
      <c r="O61" s="71" t="s">
        <v>32</v>
      </c>
      <c r="P61" s="70" t="s">
        <v>32</v>
      </c>
      <c r="Q61" s="71" t="s">
        <v>32</v>
      </c>
      <c r="R61" s="70" t="s">
        <v>34</v>
      </c>
      <c r="S61" s="72" t="s">
        <v>34</v>
      </c>
      <c r="T61" s="70" t="s">
        <v>32</v>
      </c>
      <c r="U61" s="72" t="s">
        <v>32</v>
      </c>
      <c r="V61" s="73" t="s">
        <v>34</v>
      </c>
      <c r="W61" s="70" t="s">
        <v>32</v>
      </c>
      <c r="X61" s="73" t="s">
        <v>32</v>
      </c>
      <c r="Y61" s="74" t="s">
        <v>34</v>
      </c>
    </row>
    <row r="62" spans="1:25" ht="20.100000000000001" customHeight="1" x14ac:dyDescent="0.4">
      <c r="A62" s="9">
        <v>27</v>
      </c>
      <c r="B62" s="3" t="s">
        <v>146</v>
      </c>
      <c r="C62" s="3" t="s">
        <v>147</v>
      </c>
      <c r="D62" s="79"/>
      <c r="E62" s="38" t="s">
        <v>32</v>
      </c>
      <c r="F62" s="39" t="s">
        <v>34</v>
      </c>
      <c r="G62" s="40" t="s">
        <v>35</v>
      </c>
      <c r="H62" s="39" t="s">
        <v>34</v>
      </c>
      <c r="I62" s="40" t="s">
        <v>32</v>
      </c>
      <c r="J62" s="39" t="s">
        <v>33</v>
      </c>
      <c r="K62" s="40" t="s">
        <v>32</v>
      </c>
      <c r="L62" s="39" t="s">
        <v>34</v>
      </c>
      <c r="M62" s="40" t="s">
        <v>34</v>
      </c>
      <c r="N62" s="39" t="s">
        <v>34</v>
      </c>
      <c r="O62" s="40" t="s">
        <v>34</v>
      </c>
      <c r="P62" s="39" t="s">
        <v>34</v>
      </c>
      <c r="Q62" s="40" t="s">
        <v>32</v>
      </c>
      <c r="R62" s="39" t="s">
        <v>32</v>
      </c>
      <c r="S62" s="41" t="s">
        <v>34</v>
      </c>
      <c r="T62" s="39" t="s">
        <v>34</v>
      </c>
      <c r="U62" s="41" t="s">
        <v>32</v>
      </c>
      <c r="V62" s="42" t="s">
        <v>34</v>
      </c>
      <c r="W62" s="39" t="s">
        <v>34</v>
      </c>
      <c r="X62" s="42" t="s">
        <v>32</v>
      </c>
      <c r="Y62" s="48" t="s">
        <v>34</v>
      </c>
    </row>
    <row r="63" spans="1:25" ht="20.100000000000001" customHeight="1" x14ac:dyDescent="0.4">
      <c r="A63" s="9">
        <v>96</v>
      </c>
      <c r="B63" s="3" t="s">
        <v>148</v>
      </c>
      <c r="C63" s="3" t="s">
        <v>149</v>
      </c>
      <c r="D63" s="79"/>
      <c r="E63" s="38" t="s">
        <v>32</v>
      </c>
      <c r="F63" s="39" t="s">
        <v>32</v>
      </c>
      <c r="G63" s="40" t="s">
        <v>32</v>
      </c>
      <c r="H63" s="39" t="s">
        <v>32</v>
      </c>
      <c r="I63" s="40" t="s">
        <v>35</v>
      </c>
      <c r="J63" s="39" t="s">
        <v>32</v>
      </c>
      <c r="K63" s="40" t="s">
        <v>32</v>
      </c>
      <c r="L63" s="39" t="s">
        <v>33</v>
      </c>
      <c r="M63" s="40" t="s">
        <v>32</v>
      </c>
      <c r="N63" s="39" t="s">
        <v>32</v>
      </c>
      <c r="O63" s="40" t="s">
        <v>32</v>
      </c>
      <c r="P63" s="39" t="s">
        <v>32</v>
      </c>
      <c r="Q63" s="40" t="s">
        <v>32</v>
      </c>
      <c r="R63" s="39" t="s">
        <v>32</v>
      </c>
      <c r="S63" s="41" t="s">
        <v>34</v>
      </c>
      <c r="T63" s="39" t="s">
        <v>32</v>
      </c>
      <c r="U63" s="41" t="s">
        <v>32</v>
      </c>
      <c r="V63" s="42" t="s">
        <v>34</v>
      </c>
      <c r="W63" s="39" t="s">
        <v>32</v>
      </c>
      <c r="X63" s="42" t="s">
        <v>32</v>
      </c>
      <c r="Y63" s="48" t="s">
        <v>34</v>
      </c>
    </row>
    <row r="64" spans="1:25" ht="20.100000000000001" customHeight="1" x14ac:dyDescent="0.4">
      <c r="A64" s="13">
        <v>34</v>
      </c>
      <c r="B64" s="4" t="s">
        <v>150</v>
      </c>
      <c r="C64" s="4" t="s">
        <v>151</v>
      </c>
      <c r="D64" s="80"/>
      <c r="E64" s="62" t="s">
        <v>32</v>
      </c>
      <c r="F64" s="43" t="s">
        <v>35</v>
      </c>
      <c r="G64" s="44" t="s">
        <v>34</v>
      </c>
      <c r="H64" s="43" t="s">
        <v>32</v>
      </c>
      <c r="I64" s="44" t="s">
        <v>32</v>
      </c>
      <c r="J64" s="43" t="s">
        <v>33</v>
      </c>
      <c r="K64" s="44" t="s">
        <v>32</v>
      </c>
      <c r="L64" s="43" t="s">
        <v>34</v>
      </c>
      <c r="M64" s="44" t="s">
        <v>345</v>
      </c>
      <c r="N64" s="43" t="s">
        <v>34</v>
      </c>
      <c r="O64" s="44" t="s">
        <v>32</v>
      </c>
      <c r="P64" s="43" t="s">
        <v>32</v>
      </c>
      <c r="Q64" s="44" t="s">
        <v>32</v>
      </c>
      <c r="R64" s="43" t="s">
        <v>32</v>
      </c>
      <c r="S64" s="45" t="s">
        <v>34</v>
      </c>
      <c r="T64" s="43" t="s">
        <v>34</v>
      </c>
      <c r="U64" s="45" t="s">
        <v>32</v>
      </c>
      <c r="V64" s="46" t="s">
        <v>34</v>
      </c>
      <c r="W64" s="43" t="s">
        <v>34</v>
      </c>
      <c r="X64" s="46" t="s">
        <v>32</v>
      </c>
      <c r="Y64" s="49" t="s">
        <v>34</v>
      </c>
    </row>
    <row r="65" spans="1:25" ht="20.100000000000001" customHeight="1" x14ac:dyDescent="0.4">
      <c r="A65" s="22">
        <v>37</v>
      </c>
      <c r="B65" s="23" t="s">
        <v>152</v>
      </c>
      <c r="C65" s="23" t="s">
        <v>153</v>
      </c>
      <c r="D65" s="81"/>
      <c r="E65" s="63" t="s">
        <v>32</v>
      </c>
      <c r="F65" s="64" t="s">
        <v>34</v>
      </c>
      <c r="G65" s="65" t="s">
        <v>34</v>
      </c>
      <c r="H65" s="64" t="s">
        <v>33</v>
      </c>
      <c r="I65" s="65" t="s">
        <v>32</v>
      </c>
      <c r="J65" s="64" t="s">
        <v>33</v>
      </c>
      <c r="K65" s="65" t="s">
        <v>32</v>
      </c>
      <c r="L65" s="64" t="s">
        <v>34</v>
      </c>
      <c r="M65" s="65" t="s">
        <v>35</v>
      </c>
      <c r="N65" s="64" t="s">
        <v>34</v>
      </c>
      <c r="O65" s="65" t="s">
        <v>32</v>
      </c>
      <c r="P65" s="64" t="s">
        <v>32</v>
      </c>
      <c r="Q65" s="65" t="s">
        <v>32</v>
      </c>
      <c r="R65" s="64" t="s">
        <v>32</v>
      </c>
      <c r="S65" s="66" t="s">
        <v>34</v>
      </c>
      <c r="T65" s="64" t="s">
        <v>34</v>
      </c>
      <c r="U65" s="66" t="s">
        <v>32</v>
      </c>
      <c r="V65" s="67" t="s">
        <v>34</v>
      </c>
      <c r="W65" s="64" t="s">
        <v>34</v>
      </c>
      <c r="X65" s="67" t="s">
        <v>32</v>
      </c>
      <c r="Y65" s="68" t="s">
        <v>34</v>
      </c>
    </row>
    <row r="66" spans="1:25" ht="20.100000000000001" customHeight="1" x14ac:dyDescent="0.4">
      <c r="A66" s="12">
        <v>38</v>
      </c>
      <c r="B66" s="2" t="s">
        <v>154</v>
      </c>
      <c r="C66" s="2" t="s">
        <v>155</v>
      </c>
      <c r="D66" s="78"/>
      <c r="E66" s="69" t="s">
        <v>32</v>
      </c>
      <c r="F66" s="70" t="s">
        <v>34</v>
      </c>
      <c r="G66" s="71" t="s">
        <v>35</v>
      </c>
      <c r="H66" s="70" t="s">
        <v>34</v>
      </c>
      <c r="I66" s="71" t="s">
        <v>32</v>
      </c>
      <c r="J66" s="70" t="s">
        <v>34</v>
      </c>
      <c r="K66" s="71" t="s">
        <v>34</v>
      </c>
      <c r="L66" s="70" t="s">
        <v>34</v>
      </c>
      <c r="M66" s="71" t="s">
        <v>34</v>
      </c>
      <c r="N66" s="70" t="s">
        <v>34</v>
      </c>
      <c r="O66" s="71" t="s">
        <v>34</v>
      </c>
      <c r="P66" s="70" t="s">
        <v>34</v>
      </c>
      <c r="Q66" s="71" t="s">
        <v>32</v>
      </c>
      <c r="R66" s="70" t="s">
        <v>32</v>
      </c>
      <c r="S66" s="72" t="s">
        <v>34</v>
      </c>
      <c r="T66" s="70" t="s">
        <v>34</v>
      </c>
      <c r="U66" s="72" t="s">
        <v>34</v>
      </c>
      <c r="V66" s="73" t="s">
        <v>34</v>
      </c>
      <c r="W66" s="70" t="s">
        <v>34</v>
      </c>
      <c r="X66" s="73" t="s">
        <v>32</v>
      </c>
      <c r="Y66" s="74" t="s">
        <v>34</v>
      </c>
    </row>
    <row r="67" spans="1:25" ht="20.100000000000001" customHeight="1" x14ac:dyDescent="0.4">
      <c r="A67" s="9">
        <v>39</v>
      </c>
      <c r="B67" s="3" t="s">
        <v>156</v>
      </c>
      <c r="C67" s="3" t="s">
        <v>157</v>
      </c>
      <c r="D67" s="79"/>
      <c r="E67" s="38" t="s">
        <v>32</v>
      </c>
      <c r="F67" s="39" t="s">
        <v>35</v>
      </c>
      <c r="G67" s="40" t="s">
        <v>33</v>
      </c>
      <c r="H67" s="39" t="s">
        <v>32</v>
      </c>
      <c r="I67" s="40" t="s">
        <v>32</v>
      </c>
      <c r="J67" s="39" t="s">
        <v>33</v>
      </c>
      <c r="K67" s="40" t="s">
        <v>32</v>
      </c>
      <c r="L67" s="39" t="s">
        <v>34</v>
      </c>
      <c r="M67" s="40" t="s">
        <v>345</v>
      </c>
      <c r="N67" s="39" t="s">
        <v>34</v>
      </c>
      <c r="O67" s="40" t="s">
        <v>32</v>
      </c>
      <c r="P67" s="39" t="s">
        <v>32</v>
      </c>
      <c r="Q67" s="40" t="s">
        <v>32</v>
      </c>
      <c r="R67" s="39" t="s">
        <v>32</v>
      </c>
      <c r="S67" s="41" t="s">
        <v>34</v>
      </c>
      <c r="T67" s="39" t="s">
        <v>34</v>
      </c>
      <c r="U67" s="41" t="s">
        <v>32</v>
      </c>
      <c r="V67" s="42" t="s">
        <v>34</v>
      </c>
      <c r="W67" s="39" t="s">
        <v>34</v>
      </c>
      <c r="X67" s="42" t="s">
        <v>32</v>
      </c>
      <c r="Y67" s="48" t="s">
        <v>34</v>
      </c>
    </row>
    <row r="68" spans="1:25" ht="20.100000000000001" customHeight="1" x14ac:dyDescent="0.4">
      <c r="A68" s="9">
        <v>40</v>
      </c>
      <c r="B68" s="3" t="s">
        <v>158</v>
      </c>
      <c r="C68" s="3" t="s">
        <v>159</v>
      </c>
      <c r="D68" s="79"/>
      <c r="E68" s="38" t="s">
        <v>32</v>
      </c>
      <c r="F68" s="39" t="s">
        <v>33</v>
      </c>
      <c r="G68" s="40" t="s">
        <v>34</v>
      </c>
      <c r="H68" s="39" t="s">
        <v>34</v>
      </c>
      <c r="I68" s="40" t="s">
        <v>34</v>
      </c>
      <c r="J68" s="39" t="s">
        <v>34</v>
      </c>
      <c r="K68" s="40" t="s">
        <v>32</v>
      </c>
      <c r="L68" s="39" t="s">
        <v>34</v>
      </c>
      <c r="M68" s="40" t="s">
        <v>32</v>
      </c>
      <c r="N68" s="39" t="s">
        <v>34</v>
      </c>
      <c r="O68" s="40" t="s">
        <v>34</v>
      </c>
      <c r="P68" s="39" t="s">
        <v>34</v>
      </c>
      <c r="Q68" s="40" t="s">
        <v>32</v>
      </c>
      <c r="R68" s="39" t="s">
        <v>32</v>
      </c>
      <c r="S68" s="41" t="s">
        <v>32</v>
      </c>
      <c r="T68" s="39" t="s">
        <v>32</v>
      </c>
      <c r="U68" s="41" t="s">
        <v>32</v>
      </c>
      <c r="V68" s="42" t="s">
        <v>32</v>
      </c>
      <c r="W68" s="39" t="s">
        <v>32</v>
      </c>
      <c r="X68" s="42" t="s">
        <v>32</v>
      </c>
      <c r="Y68" s="48" t="s">
        <v>32</v>
      </c>
    </row>
    <row r="69" spans="1:25" ht="20.100000000000001" customHeight="1" x14ac:dyDescent="0.4">
      <c r="A69" s="13">
        <v>42</v>
      </c>
      <c r="B69" s="4" t="s">
        <v>160</v>
      </c>
      <c r="C69" s="4" t="s">
        <v>161</v>
      </c>
      <c r="D69" s="80"/>
      <c r="E69" s="62" t="s">
        <v>32</v>
      </c>
      <c r="F69" s="43" t="s">
        <v>32</v>
      </c>
      <c r="G69" s="44" t="s">
        <v>32</v>
      </c>
      <c r="H69" s="43" t="s">
        <v>32</v>
      </c>
      <c r="I69" s="44" t="s">
        <v>35</v>
      </c>
      <c r="J69" s="43" t="s">
        <v>34</v>
      </c>
      <c r="K69" s="44" t="s">
        <v>34</v>
      </c>
      <c r="L69" s="43" t="s">
        <v>34</v>
      </c>
      <c r="M69" s="44" t="s">
        <v>345</v>
      </c>
      <c r="N69" s="43" t="s">
        <v>34</v>
      </c>
      <c r="O69" s="44" t="s">
        <v>32</v>
      </c>
      <c r="P69" s="43" t="s">
        <v>32</v>
      </c>
      <c r="Q69" s="44" t="s">
        <v>32</v>
      </c>
      <c r="R69" s="43" t="s">
        <v>32</v>
      </c>
      <c r="S69" s="45" t="s">
        <v>34</v>
      </c>
      <c r="T69" s="43" t="s">
        <v>32</v>
      </c>
      <c r="U69" s="45" t="s">
        <v>34</v>
      </c>
      <c r="V69" s="46" t="s">
        <v>34</v>
      </c>
      <c r="W69" s="43" t="s">
        <v>32</v>
      </c>
      <c r="X69" s="46" t="s">
        <v>34</v>
      </c>
      <c r="Y69" s="49" t="s">
        <v>34</v>
      </c>
    </row>
    <row r="70" spans="1:25" ht="20.100000000000001" customHeight="1" x14ac:dyDescent="0.4">
      <c r="A70" s="22">
        <v>44</v>
      </c>
      <c r="B70" s="23" t="s">
        <v>162</v>
      </c>
      <c r="C70" s="23" t="s">
        <v>163</v>
      </c>
      <c r="D70" s="81"/>
      <c r="E70" s="63" t="s">
        <v>32</v>
      </c>
      <c r="F70" s="64" t="s">
        <v>32</v>
      </c>
      <c r="G70" s="65" t="s">
        <v>32</v>
      </c>
      <c r="H70" s="64" t="s">
        <v>34</v>
      </c>
      <c r="I70" s="65" t="s">
        <v>32</v>
      </c>
      <c r="J70" s="64" t="s">
        <v>32</v>
      </c>
      <c r="K70" s="65" t="s">
        <v>32</v>
      </c>
      <c r="L70" s="64" t="s">
        <v>33</v>
      </c>
      <c r="M70" s="65" t="s">
        <v>35</v>
      </c>
      <c r="N70" s="64" t="s">
        <v>32</v>
      </c>
      <c r="O70" s="65" t="s">
        <v>32</v>
      </c>
      <c r="P70" s="64" t="s">
        <v>32</v>
      </c>
      <c r="Q70" s="65" t="s">
        <v>32</v>
      </c>
      <c r="R70" s="64" t="s">
        <v>32</v>
      </c>
      <c r="S70" s="66" t="s">
        <v>34</v>
      </c>
      <c r="T70" s="64" t="s">
        <v>32</v>
      </c>
      <c r="U70" s="66" t="s">
        <v>32</v>
      </c>
      <c r="V70" s="67" t="s">
        <v>34</v>
      </c>
      <c r="W70" s="64" t="s">
        <v>32</v>
      </c>
      <c r="X70" s="67" t="s">
        <v>32</v>
      </c>
      <c r="Y70" s="68" t="s">
        <v>34</v>
      </c>
    </row>
    <row r="71" spans="1:25" ht="20.100000000000001" customHeight="1" x14ac:dyDescent="0.4">
      <c r="A71" s="12">
        <v>45</v>
      </c>
      <c r="B71" s="2" t="s">
        <v>164</v>
      </c>
      <c r="C71" s="2" t="s">
        <v>165</v>
      </c>
      <c r="D71" s="78"/>
      <c r="E71" s="69" t="s">
        <v>32</v>
      </c>
      <c r="F71" s="70" t="s">
        <v>35</v>
      </c>
      <c r="G71" s="71" t="s">
        <v>34</v>
      </c>
      <c r="H71" s="70" t="s">
        <v>35</v>
      </c>
      <c r="I71" s="71" t="s">
        <v>34</v>
      </c>
      <c r="J71" s="70" t="s">
        <v>34</v>
      </c>
      <c r="K71" s="71" t="s">
        <v>32</v>
      </c>
      <c r="L71" s="70" t="s">
        <v>34</v>
      </c>
      <c r="M71" s="71" t="s">
        <v>35</v>
      </c>
      <c r="N71" s="70" t="s">
        <v>34</v>
      </c>
      <c r="O71" s="71" t="s">
        <v>32</v>
      </c>
      <c r="P71" s="70" t="s">
        <v>32</v>
      </c>
      <c r="Q71" s="71" t="s">
        <v>32</v>
      </c>
      <c r="R71" s="70" t="s">
        <v>32</v>
      </c>
      <c r="S71" s="72" t="s">
        <v>34</v>
      </c>
      <c r="T71" s="70" t="s">
        <v>34</v>
      </c>
      <c r="U71" s="72" t="s">
        <v>34</v>
      </c>
      <c r="V71" s="73" t="s">
        <v>34</v>
      </c>
      <c r="W71" s="70" t="s">
        <v>34</v>
      </c>
      <c r="X71" s="73" t="s">
        <v>34</v>
      </c>
      <c r="Y71" s="74" t="s">
        <v>34</v>
      </c>
    </row>
    <row r="72" spans="1:25" ht="20.100000000000001" customHeight="1" x14ac:dyDescent="0.4">
      <c r="A72" s="9">
        <v>46</v>
      </c>
      <c r="B72" s="3" t="s">
        <v>166</v>
      </c>
      <c r="C72" s="3" t="s">
        <v>167</v>
      </c>
      <c r="D72" s="79"/>
      <c r="E72" s="38" t="s">
        <v>32</v>
      </c>
      <c r="F72" s="39" t="s">
        <v>34</v>
      </c>
      <c r="G72" s="40" t="s">
        <v>34</v>
      </c>
      <c r="H72" s="39" t="s">
        <v>34</v>
      </c>
      <c r="I72" s="40" t="s">
        <v>32</v>
      </c>
      <c r="J72" s="39" t="s">
        <v>34</v>
      </c>
      <c r="K72" s="40" t="s">
        <v>34</v>
      </c>
      <c r="L72" s="39" t="s">
        <v>34</v>
      </c>
      <c r="M72" s="40" t="s">
        <v>32</v>
      </c>
      <c r="N72" s="39" t="s">
        <v>34</v>
      </c>
      <c r="O72" s="40" t="s">
        <v>34</v>
      </c>
      <c r="P72" s="39" t="s">
        <v>34</v>
      </c>
      <c r="Q72" s="40" t="s">
        <v>32</v>
      </c>
      <c r="R72" s="39" t="s">
        <v>32</v>
      </c>
      <c r="S72" s="41" t="s">
        <v>32</v>
      </c>
      <c r="T72" s="39" t="s">
        <v>32</v>
      </c>
      <c r="U72" s="41" t="s">
        <v>32</v>
      </c>
      <c r="V72" s="42" t="s">
        <v>32</v>
      </c>
      <c r="W72" s="39" t="s">
        <v>32</v>
      </c>
      <c r="X72" s="42" t="s">
        <v>32</v>
      </c>
      <c r="Y72" s="48" t="s">
        <v>32</v>
      </c>
    </row>
    <row r="73" spans="1:25" ht="20.100000000000001" customHeight="1" x14ac:dyDescent="0.4">
      <c r="A73" s="9">
        <v>50</v>
      </c>
      <c r="B73" s="3" t="s">
        <v>168</v>
      </c>
      <c r="C73" s="3" t="s">
        <v>169</v>
      </c>
      <c r="D73" s="79"/>
      <c r="E73" s="38" t="s">
        <v>32</v>
      </c>
      <c r="F73" s="39" t="s">
        <v>32</v>
      </c>
      <c r="G73" s="40" t="s">
        <v>32</v>
      </c>
      <c r="H73" s="39" t="s">
        <v>32</v>
      </c>
      <c r="I73" s="40" t="s">
        <v>32</v>
      </c>
      <c r="J73" s="39" t="s">
        <v>32</v>
      </c>
      <c r="K73" s="40" t="s">
        <v>32</v>
      </c>
      <c r="L73" s="39" t="s">
        <v>32</v>
      </c>
      <c r="M73" s="40" t="s">
        <v>32</v>
      </c>
      <c r="N73" s="39" t="s">
        <v>32</v>
      </c>
      <c r="O73" s="40" t="s">
        <v>32</v>
      </c>
      <c r="P73" s="39" t="s">
        <v>32</v>
      </c>
      <c r="Q73" s="40" t="s">
        <v>32</v>
      </c>
      <c r="R73" s="39" t="s">
        <v>32</v>
      </c>
      <c r="S73" s="41" t="s">
        <v>32</v>
      </c>
      <c r="T73" s="39" t="s">
        <v>32</v>
      </c>
      <c r="U73" s="41" t="s">
        <v>32</v>
      </c>
      <c r="V73" s="42" t="s">
        <v>32</v>
      </c>
      <c r="W73" s="39" t="s">
        <v>32</v>
      </c>
      <c r="X73" s="42" t="s">
        <v>32</v>
      </c>
      <c r="Y73" s="48" t="s">
        <v>32</v>
      </c>
    </row>
    <row r="74" spans="1:25" ht="20.100000000000001" customHeight="1" x14ac:dyDescent="0.4">
      <c r="A74" s="13">
        <v>53</v>
      </c>
      <c r="B74" s="4" t="s">
        <v>170</v>
      </c>
      <c r="C74" s="4" t="s">
        <v>171</v>
      </c>
      <c r="D74" s="80"/>
      <c r="E74" s="62" t="s">
        <v>32</v>
      </c>
      <c r="F74" s="43" t="s">
        <v>32</v>
      </c>
      <c r="G74" s="44" t="s">
        <v>32</v>
      </c>
      <c r="H74" s="43" t="s">
        <v>32</v>
      </c>
      <c r="I74" s="44" t="s">
        <v>32</v>
      </c>
      <c r="J74" s="43" t="s">
        <v>32</v>
      </c>
      <c r="K74" s="44" t="s">
        <v>32</v>
      </c>
      <c r="L74" s="43" t="s">
        <v>32</v>
      </c>
      <c r="M74" s="44" t="s">
        <v>32</v>
      </c>
      <c r="N74" s="43" t="s">
        <v>32</v>
      </c>
      <c r="O74" s="44" t="s">
        <v>32</v>
      </c>
      <c r="P74" s="43" t="s">
        <v>32</v>
      </c>
      <c r="Q74" s="44" t="s">
        <v>32</v>
      </c>
      <c r="R74" s="43" t="s">
        <v>32</v>
      </c>
      <c r="S74" s="45" t="s">
        <v>32</v>
      </c>
      <c r="T74" s="43" t="s">
        <v>32</v>
      </c>
      <c r="U74" s="45" t="s">
        <v>32</v>
      </c>
      <c r="V74" s="46" t="s">
        <v>32</v>
      </c>
      <c r="W74" s="43" t="s">
        <v>32</v>
      </c>
      <c r="X74" s="46" t="s">
        <v>32</v>
      </c>
      <c r="Y74" s="49" t="s">
        <v>32</v>
      </c>
    </row>
    <row r="75" spans="1:25" ht="20.100000000000001" customHeight="1" x14ac:dyDescent="0.4">
      <c r="A75" s="22">
        <v>73</v>
      </c>
      <c r="B75" s="23" t="s">
        <v>172</v>
      </c>
      <c r="C75" s="23" t="s">
        <v>173</v>
      </c>
      <c r="D75" s="81"/>
      <c r="E75" s="63" t="s">
        <v>32</v>
      </c>
      <c r="F75" s="64" t="s">
        <v>32</v>
      </c>
      <c r="G75" s="65" t="s">
        <v>32</v>
      </c>
      <c r="H75" s="64" t="s">
        <v>32</v>
      </c>
      <c r="I75" s="65" t="s">
        <v>32</v>
      </c>
      <c r="J75" s="64" t="s">
        <v>32</v>
      </c>
      <c r="K75" s="65" t="s">
        <v>32</v>
      </c>
      <c r="L75" s="64" t="s">
        <v>32</v>
      </c>
      <c r="M75" s="65" t="s">
        <v>32</v>
      </c>
      <c r="N75" s="64" t="s">
        <v>32</v>
      </c>
      <c r="O75" s="65" t="s">
        <v>32</v>
      </c>
      <c r="P75" s="64" t="s">
        <v>32</v>
      </c>
      <c r="Q75" s="65" t="s">
        <v>32</v>
      </c>
      <c r="R75" s="64" t="s">
        <v>32</v>
      </c>
      <c r="S75" s="66" t="s">
        <v>32</v>
      </c>
      <c r="T75" s="64" t="s">
        <v>32</v>
      </c>
      <c r="U75" s="66" t="s">
        <v>32</v>
      </c>
      <c r="V75" s="67" t="s">
        <v>32</v>
      </c>
      <c r="W75" s="64" t="s">
        <v>32</v>
      </c>
      <c r="X75" s="67" t="s">
        <v>32</v>
      </c>
      <c r="Y75" s="68" t="s">
        <v>32</v>
      </c>
    </row>
    <row r="76" spans="1:25" ht="20.100000000000001" customHeight="1" x14ac:dyDescent="0.4">
      <c r="A76" s="12">
        <v>60</v>
      </c>
      <c r="B76" s="2" t="s">
        <v>174</v>
      </c>
      <c r="C76" s="2" t="s">
        <v>175</v>
      </c>
      <c r="D76" s="78"/>
      <c r="E76" s="69" t="s">
        <v>32</v>
      </c>
      <c r="F76" s="70" t="s">
        <v>32</v>
      </c>
      <c r="G76" s="71" t="s">
        <v>32</v>
      </c>
      <c r="H76" s="70" t="s">
        <v>32</v>
      </c>
      <c r="I76" s="71" t="s">
        <v>32</v>
      </c>
      <c r="J76" s="70" t="s">
        <v>32</v>
      </c>
      <c r="K76" s="71" t="s">
        <v>32</v>
      </c>
      <c r="L76" s="70" t="s">
        <v>32</v>
      </c>
      <c r="M76" s="71" t="s">
        <v>32</v>
      </c>
      <c r="N76" s="70" t="s">
        <v>32</v>
      </c>
      <c r="O76" s="71" t="s">
        <v>32</v>
      </c>
      <c r="P76" s="70" t="s">
        <v>32</v>
      </c>
      <c r="Q76" s="71" t="s">
        <v>32</v>
      </c>
      <c r="R76" s="70" t="s">
        <v>32</v>
      </c>
      <c r="S76" s="72" t="s">
        <v>32</v>
      </c>
      <c r="T76" s="70" t="s">
        <v>32</v>
      </c>
      <c r="U76" s="72" t="s">
        <v>32</v>
      </c>
      <c r="V76" s="73" t="s">
        <v>32</v>
      </c>
      <c r="W76" s="70" t="s">
        <v>32</v>
      </c>
      <c r="X76" s="73" t="s">
        <v>32</v>
      </c>
      <c r="Y76" s="74" t="s">
        <v>32</v>
      </c>
    </row>
    <row r="77" spans="1:25" ht="20.100000000000001" customHeight="1" x14ac:dyDescent="0.4">
      <c r="A77" s="9">
        <v>64</v>
      </c>
      <c r="B77" s="3" t="s">
        <v>176</v>
      </c>
      <c r="C77" s="3" t="s">
        <v>177</v>
      </c>
      <c r="D77" s="79"/>
      <c r="E77" s="38" t="s">
        <v>32</v>
      </c>
      <c r="F77" s="39" t="s">
        <v>32</v>
      </c>
      <c r="G77" s="40" t="s">
        <v>32</v>
      </c>
      <c r="H77" s="39" t="s">
        <v>32</v>
      </c>
      <c r="I77" s="40" t="s">
        <v>32</v>
      </c>
      <c r="J77" s="39" t="s">
        <v>32</v>
      </c>
      <c r="K77" s="40" t="s">
        <v>32</v>
      </c>
      <c r="L77" s="39" t="s">
        <v>32</v>
      </c>
      <c r="M77" s="40" t="s">
        <v>32</v>
      </c>
      <c r="N77" s="39" t="s">
        <v>32</v>
      </c>
      <c r="O77" s="40" t="s">
        <v>32</v>
      </c>
      <c r="P77" s="39" t="s">
        <v>32</v>
      </c>
      <c r="Q77" s="40" t="s">
        <v>32</v>
      </c>
      <c r="R77" s="39" t="s">
        <v>32</v>
      </c>
      <c r="S77" s="41" t="s">
        <v>32</v>
      </c>
      <c r="T77" s="39" t="s">
        <v>32</v>
      </c>
      <c r="U77" s="41" t="s">
        <v>32</v>
      </c>
      <c r="V77" s="42" t="s">
        <v>32</v>
      </c>
      <c r="W77" s="39" t="s">
        <v>32</v>
      </c>
      <c r="X77" s="42" t="s">
        <v>32</v>
      </c>
      <c r="Y77" s="48" t="s">
        <v>32</v>
      </c>
    </row>
    <row r="78" spans="1:25" ht="20.100000000000001" customHeight="1" x14ac:dyDescent="0.4">
      <c r="A78" s="9">
        <v>67</v>
      </c>
      <c r="B78" s="3" t="s">
        <v>178</v>
      </c>
      <c r="C78" s="3" t="s">
        <v>179</v>
      </c>
      <c r="D78" s="79"/>
      <c r="E78" s="38" t="s">
        <v>32</v>
      </c>
      <c r="F78" s="39" t="s">
        <v>32</v>
      </c>
      <c r="G78" s="40" t="s">
        <v>32</v>
      </c>
      <c r="H78" s="39" t="s">
        <v>32</v>
      </c>
      <c r="I78" s="40" t="s">
        <v>32</v>
      </c>
      <c r="J78" s="39" t="s">
        <v>32</v>
      </c>
      <c r="K78" s="40" t="s">
        <v>32</v>
      </c>
      <c r="L78" s="39" t="s">
        <v>32</v>
      </c>
      <c r="M78" s="40" t="s">
        <v>32</v>
      </c>
      <c r="N78" s="39" t="s">
        <v>32</v>
      </c>
      <c r="O78" s="40" t="s">
        <v>32</v>
      </c>
      <c r="P78" s="39" t="s">
        <v>32</v>
      </c>
      <c r="Q78" s="40" t="s">
        <v>32</v>
      </c>
      <c r="R78" s="39" t="s">
        <v>32</v>
      </c>
      <c r="S78" s="41" t="s">
        <v>32</v>
      </c>
      <c r="T78" s="39" t="s">
        <v>32</v>
      </c>
      <c r="U78" s="41" t="s">
        <v>32</v>
      </c>
      <c r="V78" s="42" t="s">
        <v>32</v>
      </c>
      <c r="W78" s="39" t="s">
        <v>32</v>
      </c>
      <c r="X78" s="42" t="s">
        <v>32</v>
      </c>
      <c r="Y78" s="48" t="s">
        <v>32</v>
      </c>
    </row>
    <row r="79" spans="1:25" ht="20.100000000000001" customHeight="1" x14ac:dyDescent="0.4">
      <c r="A79" s="13">
        <v>68</v>
      </c>
      <c r="B79" s="4" t="s">
        <v>180</v>
      </c>
      <c r="C79" s="4" t="s">
        <v>181</v>
      </c>
      <c r="D79" s="80"/>
      <c r="E79" s="62" t="s">
        <v>32</v>
      </c>
      <c r="F79" s="43" t="s">
        <v>32</v>
      </c>
      <c r="G79" s="44" t="s">
        <v>32</v>
      </c>
      <c r="H79" s="43" t="s">
        <v>32</v>
      </c>
      <c r="I79" s="44" t="s">
        <v>32</v>
      </c>
      <c r="J79" s="43" t="s">
        <v>32</v>
      </c>
      <c r="K79" s="44" t="s">
        <v>32</v>
      </c>
      <c r="L79" s="43" t="s">
        <v>32</v>
      </c>
      <c r="M79" s="44" t="s">
        <v>32</v>
      </c>
      <c r="N79" s="43" t="s">
        <v>32</v>
      </c>
      <c r="O79" s="44" t="s">
        <v>32</v>
      </c>
      <c r="P79" s="43" t="s">
        <v>32</v>
      </c>
      <c r="Q79" s="44" t="s">
        <v>32</v>
      </c>
      <c r="R79" s="43" t="s">
        <v>32</v>
      </c>
      <c r="S79" s="45" t="s">
        <v>32</v>
      </c>
      <c r="T79" s="43" t="s">
        <v>32</v>
      </c>
      <c r="U79" s="45" t="s">
        <v>32</v>
      </c>
      <c r="V79" s="46" t="s">
        <v>32</v>
      </c>
      <c r="W79" s="43" t="s">
        <v>32</v>
      </c>
      <c r="X79" s="46" t="s">
        <v>32</v>
      </c>
      <c r="Y79" s="49" t="s">
        <v>32</v>
      </c>
    </row>
    <row r="80" spans="1:25" ht="20.100000000000001" customHeight="1" x14ac:dyDescent="0.4">
      <c r="A80" s="22">
        <v>75</v>
      </c>
      <c r="B80" s="23" t="s">
        <v>182</v>
      </c>
      <c r="C80" s="23" t="s">
        <v>183</v>
      </c>
      <c r="D80" s="81"/>
      <c r="E80" s="63" t="s">
        <v>32</v>
      </c>
      <c r="F80" s="64" t="s">
        <v>32</v>
      </c>
      <c r="G80" s="65" t="s">
        <v>32</v>
      </c>
      <c r="H80" s="64" t="s">
        <v>32</v>
      </c>
      <c r="I80" s="65" t="s">
        <v>32</v>
      </c>
      <c r="J80" s="64" t="s">
        <v>32</v>
      </c>
      <c r="K80" s="65" t="s">
        <v>32</v>
      </c>
      <c r="L80" s="64" t="s">
        <v>32</v>
      </c>
      <c r="M80" s="65" t="s">
        <v>32</v>
      </c>
      <c r="N80" s="64" t="s">
        <v>32</v>
      </c>
      <c r="O80" s="65" t="s">
        <v>32</v>
      </c>
      <c r="P80" s="64" t="s">
        <v>32</v>
      </c>
      <c r="Q80" s="65" t="s">
        <v>32</v>
      </c>
      <c r="R80" s="64" t="s">
        <v>32</v>
      </c>
      <c r="S80" s="66" t="s">
        <v>32</v>
      </c>
      <c r="T80" s="64" t="s">
        <v>32</v>
      </c>
      <c r="U80" s="66" t="s">
        <v>32</v>
      </c>
      <c r="V80" s="67" t="s">
        <v>32</v>
      </c>
      <c r="W80" s="64" t="s">
        <v>32</v>
      </c>
      <c r="X80" s="67" t="s">
        <v>32</v>
      </c>
      <c r="Y80" s="68" t="s">
        <v>32</v>
      </c>
    </row>
    <row r="81" spans="1:25" ht="20.100000000000001" customHeight="1" x14ac:dyDescent="0.4">
      <c r="A81" s="12">
        <v>76</v>
      </c>
      <c r="B81" s="2" t="s">
        <v>184</v>
      </c>
      <c r="C81" s="2" t="s">
        <v>185</v>
      </c>
      <c r="D81" s="78"/>
      <c r="E81" s="69" t="s">
        <v>32</v>
      </c>
      <c r="F81" s="70" t="s">
        <v>32</v>
      </c>
      <c r="G81" s="71" t="s">
        <v>32</v>
      </c>
      <c r="H81" s="70" t="s">
        <v>32</v>
      </c>
      <c r="I81" s="71" t="s">
        <v>32</v>
      </c>
      <c r="J81" s="70" t="s">
        <v>32</v>
      </c>
      <c r="K81" s="71" t="s">
        <v>32</v>
      </c>
      <c r="L81" s="70" t="s">
        <v>32</v>
      </c>
      <c r="M81" s="71" t="s">
        <v>32</v>
      </c>
      <c r="N81" s="70" t="s">
        <v>32</v>
      </c>
      <c r="O81" s="71" t="s">
        <v>32</v>
      </c>
      <c r="P81" s="70" t="s">
        <v>32</v>
      </c>
      <c r="Q81" s="71" t="s">
        <v>32</v>
      </c>
      <c r="R81" s="70" t="s">
        <v>32</v>
      </c>
      <c r="S81" s="72" t="s">
        <v>32</v>
      </c>
      <c r="T81" s="70" t="s">
        <v>32</v>
      </c>
      <c r="U81" s="72" t="s">
        <v>32</v>
      </c>
      <c r="V81" s="73" t="s">
        <v>32</v>
      </c>
      <c r="W81" s="70" t="s">
        <v>32</v>
      </c>
      <c r="X81" s="73" t="s">
        <v>32</v>
      </c>
      <c r="Y81" s="74" t="s">
        <v>32</v>
      </c>
    </row>
    <row r="82" spans="1:25" ht="20.100000000000001" customHeight="1" x14ac:dyDescent="0.4">
      <c r="A82" s="9">
        <v>77</v>
      </c>
      <c r="B82" s="3" t="s">
        <v>186</v>
      </c>
      <c r="C82" s="3" t="s">
        <v>187</v>
      </c>
      <c r="D82" s="79"/>
      <c r="E82" s="38" t="s">
        <v>32</v>
      </c>
      <c r="F82" s="39" t="s">
        <v>32</v>
      </c>
      <c r="G82" s="40" t="s">
        <v>32</v>
      </c>
      <c r="H82" s="39" t="s">
        <v>32</v>
      </c>
      <c r="I82" s="40" t="s">
        <v>32</v>
      </c>
      <c r="J82" s="39" t="s">
        <v>32</v>
      </c>
      <c r="K82" s="40" t="s">
        <v>32</v>
      </c>
      <c r="L82" s="39" t="s">
        <v>32</v>
      </c>
      <c r="M82" s="40" t="s">
        <v>32</v>
      </c>
      <c r="N82" s="39" t="s">
        <v>32</v>
      </c>
      <c r="O82" s="40" t="s">
        <v>32</v>
      </c>
      <c r="P82" s="39" t="s">
        <v>32</v>
      </c>
      <c r="Q82" s="40" t="s">
        <v>32</v>
      </c>
      <c r="R82" s="39" t="s">
        <v>32</v>
      </c>
      <c r="S82" s="41" t="s">
        <v>32</v>
      </c>
      <c r="T82" s="39" t="s">
        <v>32</v>
      </c>
      <c r="U82" s="41" t="s">
        <v>32</v>
      </c>
      <c r="V82" s="42" t="s">
        <v>32</v>
      </c>
      <c r="W82" s="39" t="s">
        <v>32</v>
      </c>
      <c r="X82" s="42" t="s">
        <v>32</v>
      </c>
      <c r="Y82" s="48" t="s">
        <v>32</v>
      </c>
    </row>
    <row r="83" spans="1:25" ht="20.100000000000001" customHeight="1" x14ac:dyDescent="0.4">
      <c r="A83" s="9">
        <v>81</v>
      </c>
      <c r="B83" s="3" t="s">
        <v>188</v>
      </c>
      <c r="C83" s="3" t="s">
        <v>189</v>
      </c>
      <c r="D83" s="79"/>
      <c r="E83" s="38" t="s">
        <v>32</v>
      </c>
      <c r="F83" s="39" t="s">
        <v>32</v>
      </c>
      <c r="G83" s="40" t="s">
        <v>32</v>
      </c>
      <c r="H83" s="39" t="s">
        <v>32</v>
      </c>
      <c r="I83" s="40" t="s">
        <v>32</v>
      </c>
      <c r="J83" s="39" t="s">
        <v>32</v>
      </c>
      <c r="K83" s="40" t="s">
        <v>32</v>
      </c>
      <c r="L83" s="39" t="s">
        <v>32</v>
      </c>
      <c r="M83" s="40" t="s">
        <v>32</v>
      </c>
      <c r="N83" s="39" t="s">
        <v>32</v>
      </c>
      <c r="O83" s="40" t="s">
        <v>32</v>
      </c>
      <c r="P83" s="39" t="s">
        <v>32</v>
      </c>
      <c r="Q83" s="40" t="s">
        <v>32</v>
      </c>
      <c r="R83" s="39" t="s">
        <v>32</v>
      </c>
      <c r="S83" s="41" t="s">
        <v>32</v>
      </c>
      <c r="T83" s="39" t="s">
        <v>32</v>
      </c>
      <c r="U83" s="41" t="s">
        <v>32</v>
      </c>
      <c r="V83" s="42" t="s">
        <v>32</v>
      </c>
      <c r="W83" s="39" t="s">
        <v>32</v>
      </c>
      <c r="X83" s="42" t="s">
        <v>32</v>
      </c>
      <c r="Y83" s="48" t="s">
        <v>32</v>
      </c>
    </row>
    <row r="84" spans="1:25" ht="20.100000000000001" customHeight="1" x14ac:dyDescent="0.4">
      <c r="A84" s="13">
        <v>84</v>
      </c>
      <c r="B84" s="4" t="s">
        <v>190</v>
      </c>
      <c r="C84" s="4" t="s">
        <v>191</v>
      </c>
      <c r="D84" s="80"/>
      <c r="E84" s="62" t="s">
        <v>32</v>
      </c>
      <c r="F84" s="43" t="s">
        <v>32</v>
      </c>
      <c r="G84" s="44" t="s">
        <v>32</v>
      </c>
      <c r="H84" s="43" t="s">
        <v>32</v>
      </c>
      <c r="I84" s="44" t="s">
        <v>32</v>
      </c>
      <c r="J84" s="43" t="s">
        <v>32</v>
      </c>
      <c r="K84" s="44" t="s">
        <v>32</v>
      </c>
      <c r="L84" s="43" t="s">
        <v>32</v>
      </c>
      <c r="M84" s="44" t="s">
        <v>32</v>
      </c>
      <c r="N84" s="43" t="s">
        <v>32</v>
      </c>
      <c r="O84" s="44" t="s">
        <v>32</v>
      </c>
      <c r="P84" s="43" t="s">
        <v>32</v>
      </c>
      <c r="Q84" s="44" t="s">
        <v>32</v>
      </c>
      <c r="R84" s="43" t="s">
        <v>32</v>
      </c>
      <c r="S84" s="45" t="s">
        <v>32</v>
      </c>
      <c r="T84" s="43" t="s">
        <v>32</v>
      </c>
      <c r="U84" s="45" t="s">
        <v>32</v>
      </c>
      <c r="V84" s="46" t="s">
        <v>32</v>
      </c>
      <c r="W84" s="43" t="s">
        <v>32</v>
      </c>
      <c r="X84" s="46" t="s">
        <v>32</v>
      </c>
      <c r="Y84" s="49" t="s">
        <v>32</v>
      </c>
    </row>
    <row r="85" spans="1:25" ht="20.100000000000001" customHeight="1" x14ac:dyDescent="0.4">
      <c r="A85" s="22">
        <v>92</v>
      </c>
      <c r="B85" s="23" t="s">
        <v>192</v>
      </c>
      <c r="C85" s="23" t="s">
        <v>193</v>
      </c>
      <c r="D85" s="81"/>
      <c r="E85" s="63" t="s">
        <v>32</v>
      </c>
      <c r="F85" s="64" t="s">
        <v>32</v>
      </c>
      <c r="G85" s="65" t="s">
        <v>32</v>
      </c>
      <c r="H85" s="64" t="s">
        <v>32</v>
      </c>
      <c r="I85" s="65" t="s">
        <v>32</v>
      </c>
      <c r="J85" s="64" t="s">
        <v>32</v>
      </c>
      <c r="K85" s="65" t="s">
        <v>32</v>
      </c>
      <c r="L85" s="64" t="s">
        <v>32</v>
      </c>
      <c r="M85" s="65" t="s">
        <v>32</v>
      </c>
      <c r="N85" s="64" t="s">
        <v>32</v>
      </c>
      <c r="O85" s="65" t="s">
        <v>32</v>
      </c>
      <c r="P85" s="64" t="s">
        <v>32</v>
      </c>
      <c r="Q85" s="65" t="s">
        <v>32</v>
      </c>
      <c r="R85" s="64" t="s">
        <v>32</v>
      </c>
      <c r="S85" s="66" t="s">
        <v>32</v>
      </c>
      <c r="T85" s="64" t="s">
        <v>32</v>
      </c>
      <c r="U85" s="66" t="s">
        <v>32</v>
      </c>
      <c r="V85" s="67" t="s">
        <v>32</v>
      </c>
      <c r="W85" s="64" t="s">
        <v>32</v>
      </c>
      <c r="X85" s="67" t="s">
        <v>32</v>
      </c>
      <c r="Y85" s="68" t="s">
        <v>32</v>
      </c>
    </row>
    <row r="86" spans="1:25" ht="20.100000000000001" customHeight="1" x14ac:dyDescent="0.4">
      <c r="A86" s="12">
        <v>71</v>
      </c>
      <c r="B86" s="2" t="s">
        <v>194</v>
      </c>
      <c r="C86" s="2" t="s">
        <v>195</v>
      </c>
      <c r="D86" s="78"/>
      <c r="E86" s="69" t="s">
        <v>32</v>
      </c>
      <c r="F86" s="70" t="s">
        <v>32</v>
      </c>
      <c r="G86" s="71" t="s">
        <v>32</v>
      </c>
      <c r="H86" s="70" t="s">
        <v>32</v>
      </c>
      <c r="I86" s="71" t="s">
        <v>32</v>
      </c>
      <c r="J86" s="70" t="s">
        <v>32</v>
      </c>
      <c r="K86" s="71" t="s">
        <v>32</v>
      </c>
      <c r="L86" s="70" t="s">
        <v>32</v>
      </c>
      <c r="M86" s="71" t="s">
        <v>32</v>
      </c>
      <c r="N86" s="70" t="s">
        <v>32</v>
      </c>
      <c r="O86" s="71" t="s">
        <v>32</v>
      </c>
      <c r="P86" s="70" t="s">
        <v>32</v>
      </c>
      <c r="Q86" s="71" t="s">
        <v>32</v>
      </c>
      <c r="R86" s="70" t="s">
        <v>32</v>
      </c>
      <c r="S86" s="72" t="s">
        <v>32</v>
      </c>
      <c r="T86" s="70" t="s">
        <v>32</v>
      </c>
      <c r="U86" s="72" t="s">
        <v>32</v>
      </c>
      <c r="V86" s="73" t="s">
        <v>32</v>
      </c>
      <c r="W86" s="70" t="s">
        <v>32</v>
      </c>
      <c r="X86" s="73" t="s">
        <v>32</v>
      </c>
      <c r="Y86" s="74" t="s">
        <v>32</v>
      </c>
    </row>
    <row r="87" spans="1:25" ht="20.100000000000001" customHeight="1" thickBot="1" x14ac:dyDescent="0.45">
      <c r="A87" s="10">
        <v>2</v>
      </c>
      <c r="B87" s="7" t="s">
        <v>196</v>
      </c>
      <c r="C87" s="7" t="s">
        <v>197</v>
      </c>
      <c r="D87" s="11"/>
      <c r="E87" s="140" t="s">
        <v>32</v>
      </c>
      <c r="F87" s="141" t="s">
        <v>32</v>
      </c>
      <c r="G87" s="142" t="s">
        <v>32</v>
      </c>
      <c r="H87" s="141" t="s">
        <v>32</v>
      </c>
      <c r="I87" s="142" t="s">
        <v>32</v>
      </c>
      <c r="J87" s="141" t="s">
        <v>32</v>
      </c>
      <c r="K87" s="142" t="s">
        <v>32</v>
      </c>
      <c r="L87" s="141" t="s">
        <v>32</v>
      </c>
      <c r="M87" s="142" t="s">
        <v>32</v>
      </c>
      <c r="N87" s="141" t="s">
        <v>32</v>
      </c>
      <c r="O87" s="142" t="s">
        <v>32</v>
      </c>
      <c r="P87" s="141" t="s">
        <v>32</v>
      </c>
      <c r="Q87" s="142" t="s">
        <v>32</v>
      </c>
      <c r="R87" s="141" t="s">
        <v>32</v>
      </c>
      <c r="S87" s="143" t="s">
        <v>32</v>
      </c>
      <c r="T87" s="141" t="s">
        <v>32</v>
      </c>
      <c r="U87" s="143" t="s">
        <v>32</v>
      </c>
      <c r="V87" s="144" t="s">
        <v>32</v>
      </c>
      <c r="W87" s="141" t="s">
        <v>32</v>
      </c>
      <c r="X87" s="144" t="s">
        <v>32</v>
      </c>
      <c r="Y87" s="145" t="s">
        <v>32</v>
      </c>
    </row>
  </sheetData>
  <phoneticPr fontId="1"/>
  <conditionalFormatting sqref="D10:D87">
    <cfRule type="endsWith" dxfId="166" priority="1" stopIfTrue="1" operator="endsWith" text="MR">
      <formula>RIGHT(D10,LEN("MR"))="MR"</formula>
    </cfRule>
    <cfRule type="endsWith" dxfId="165" priority="2" stopIfTrue="1" operator="endsWith" text="TV">
      <formula>RIGHT(D10,LEN("TV"))="TV"</formula>
    </cfRule>
    <cfRule type="endsWith" dxfId="164" priority="3" stopIfTrue="1" operator="endsWith" text="KS">
      <formula>RIGHT(D10,LEN("KS"))="KS"</formula>
    </cfRule>
    <cfRule type="endsWith" dxfId="163" priority="4" stopIfTrue="1" operator="endsWith" text="NM">
      <formula>RIGHT(D10,LEN("NM"))="NM"</formula>
    </cfRule>
    <cfRule type="endsWith" dxfId="162" priority="5" stopIfTrue="1" operator="endsWith" text="AG">
      <formula>RIGHT(D10,LEN("AG"))="AG"</formula>
    </cfRule>
    <cfRule type="endsWith" dxfId="161" priority="6" stopIfTrue="1" operator="endsWith" text="RT">
      <formula>RIGHT(D10,LEN("RT"))="RT"</formula>
    </cfRule>
    <cfRule type="endsWith" dxfId="160" priority="7" stopIfTrue="1" operator="endsWith" text="XP">
      <formula>RIGHT(D10,LEN("XP"))="XP"</formula>
    </cfRule>
    <cfRule type="endsWith" dxfId="159" priority="8" stopIfTrue="1" operator="endsWith" text="MG">
      <formula>RIGHT(D10,LEN("MG"))="MG"</formula>
    </cfRule>
    <cfRule type="endsWith" dxfId="158" priority="9" stopIfTrue="1" operator="endsWith" text="MT">
      <formula>RIGHT(D10,LEN("MT"))="MT"</formula>
    </cfRule>
    <cfRule type="endsWith" dxfId="157" priority="10" stopIfTrue="1" operator="endsWith" text="CT">
      <formula>RIGHT(D10,LEN("CT"))="CT"</formula>
    </cfRule>
    <cfRule type="endsWith" dxfId="156" priority="11" stopIfTrue="1" operator="endsWith" text="XO">
      <formula>RIGHT(D10,LEN("XO"))="XO"</formula>
    </cfRule>
    <cfRule type="endsWith" dxfId="155" priority="12" stopIfTrue="1" operator="endsWith" text="FR">
      <formula>RIGHT(D10,LEN("FR"))="FR"</formula>
    </cfRule>
    <cfRule type="endsWith" dxfId="154" priority="13" stopIfTrue="1" operator="endsWith" text="AS">
      <formula>RIGHT(D10,LEN("AS"))="AS"</formula>
    </cfRule>
    <cfRule type="endsWith" dxfId="153" priority="14" stopIfTrue="1" operator="endsWith" text="ET">
      <formula>RIGHT(D10,LEN("ET"))="ET"</formula>
    </cfRule>
    <cfRule type="endsWith" dxfId="152" priority="15" stopIfTrue="1" operator="endsWith" text="NF">
      <formula>RIGHT(D10,LEN("NF"))="NF"</formula>
    </cfRule>
    <cfRule type="endsWith" dxfId="151" priority="16" stopIfTrue="1" operator="endsWith" text="八援">
      <formula>RIGHT(D10,LEN("八援"))="八援"</formula>
    </cfRule>
    <cfRule type="endsWith" dxfId="150" priority="17" stopIfTrue="1" operator="endsWith" text="UN">
      <formula>RIGHT(D10,LEN("UN"))="UN"</formula>
    </cfRule>
  </conditionalFormatting>
  <dataValidations count="3">
    <dataValidation type="list" operator="equal" allowBlank="1" showInputMessage="1" showErrorMessage="1" sqref="N10:N87 O10:O87 P10:P87 Q10:Q87 R10:R87" xr:uid="{6712B35E-E4C0-47FC-B4CE-FD38D6555066}">
      <formula1>"×,△,〇"</formula1>
    </dataValidation>
    <dataValidation type="list" operator="equal" allowBlank="1" showInputMessage="1" showErrorMessage="1" sqref="S10:S87 T10:T87 U10:U87 V10:V87 W10:W87 X10:X87 Y10:Y87" xr:uid="{CE1219EA-F95F-4567-B754-9B0970110ADE}">
      <formula1>"×,〇"</formula1>
    </dataValidation>
    <dataValidation type="list" operator="equal" allowBlank="1" showInputMessage="1" showErrorMessage="1" sqref="E10:E87 F10:F87 G10:G87 H10:H87 I10:I87 J10:J87 K10:K87 L10:L87 M10:M87" xr:uid="{11923626-744C-4A08-84FE-FA2D5DEA96E7}">
      <formula1>"×,△,▲,〇,●,★,◎"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alendarBox">
          <controlPr defaultSize="0" autoLine="0" r:id="rId4">
            <anchor moveWithCells="1">
              <from>
                <xdr:col>0</xdr:col>
                <xdr:colOff>276225</xdr:colOff>
                <xdr:row>0</xdr:row>
                <xdr:rowOff>419100</xdr:rowOff>
              </from>
              <to>
                <xdr:col>2</xdr:col>
                <xdr:colOff>381000</xdr:colOff>
                <xdr:row>1</xdr:row>
                <xdr:rowOff>66675</xdr:rowOff>
              </to>
            </anchor>
          </controlPr>
        </control>
      </mc:Choice>
      <mc:Fallback>
        <control shapeId="3073" r:id="rId3" name="Calendar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8674-0E7F-4EC1-BE42-08300A1B5A89}">
  <sheetPr codeName="Sheet6"/>
  <dimension ref="A1:L53"/>
  <sheetViews>
    <sheetView workbookViewId="0">
      <selection activeCell="K12" sqref="K12"/>
    </sheetView>
  </sheetViews>
  <sheetFormatPr defaultColWidth="9" defaultRowHeight="20.100000000000001" customHeight="1" x14ac:dyDescent="0.4"/>
  <cols>
    <col min="1" max="1" width="10.625" style="92" customWidth="1"/>
    <col min="2" max="2" width="6.625" style="92" customWidth="1"/>
    <col min="3" max="3" width="10.625" style="92" customWidth="1"/>
    <col min="4" max="4" width="6.625" style="92" customWidth="1"/>
    <col min="5" max="5" width="10.625" style="92" customWidth="1"/>
    <col min="6" max="6" width="6.625" style="92" customWidth="1"/>
    <col min="7" max="7" width="10.625" style="92" customWidth="1"/>
    <col min="8" max="8" width="6.625" style="92" customWidth="1"/>
    <col min="9" max="9" width="10.625" style="92" customWidth="1"/>
    <col min="10" max="10" width="6.625" style="92" customWidth="1"/>
    <col min="11" max="12" width="10.625" style="92" customWidth="1"/>
    <col min="13" max="16384" width="9" style="92"/>
  </cols>
  <sheetData>
    <row r="1" spans="1:12" ht="20.100000000000001" customHeight="1" x14ac:dyDescent="0.4">
      <c r="D1" s="129" t="s">
        <v>198</v>
      </c>
    </row>
    <row r="2" spans="1:12" ht="20.100000000000001" customHeight="1" thickBot="1" x14ac:dyDescent="0.45"/>
    <row r="3" spans="1:12" ht="20.100000000000001" customHeight="1" x14ac:dyDescent="0.4">
      <c r="A3" s="238" t="s">
        <v>199</v>
      </c>
      <c r="B3" s="238"/>
      <c r="C3" s="238" t="s">
        <v>200</v>
      </c>
      <c r="D3" s="238"/>
      <c r="E3" s="238" t="s">
        <v>201</v>
      </c>
      <c r="F3" s="238"/>
      <c r="G3" s="238" t="s">
        <v>202</v>
      </c>
      <c r="H3" s="238"/>
      <c r="I3" s="238" t="s">
        <v>203</v>
      </c>
      <c r="J3" s="238"/>
      <c r="L3" s="126" t="s">
        <v>121</v>
      </c>
    </row>
    <row r="4" spans="1:12" ht="20.100000000000001" customHeight="1" thickBot="1" x14ac:dyDescent="0.45">
      <c r="A4" s="150" t="s">
        <v>145</v>
      </c>
      <c r="B4" s="151" t="s">
        <v>35</v>
      </c>
      <c r="C4" s="150" t="s">
        <v>133</v>
      </c>
      <c r="D4" s="151" t="s">
        <v>35</v>
      </c>
      <c r="E4" s="139" t="s">
        <v>197</v>
      </c>
      <c r="F4" s="157"/>
      <c r="G4" s="139" t="s">
        <v>101</v>
      </c>
      <c r="H4" s="157" t="s">
        <v>35</v>
      </c>
      <c r="I4" s="139" t="s">
        <v>133</v>
      </c>
      <c r="J4" s="115"/>
      <c r="L4" s="127" t="s">
        <v>108</v>
      </c>
    </row>
    <row r="5" spans="1:12" ht="20.100000000000001" customHeight="1" x14ac:dyDescent="0.4">
      <c r="E5" s="133" t="s">
        <v>37</v>
      </c>
      <c r="F5" s="154"/>
      <c r="G5" s="133" t="s">
        <v>91</v>
      </c>
      <c r="H5" s="154"/>
      <c r="I5" s="133" t="s">
        <v>135</v>
      </c>
      <c r="J5" s="99"/>
      <c r="L5" s="127" t="s">
        <v>147</v>
      </c>
    </row>
    <row r="6" spans="1:12" ht="20.100000000000001" customHeight="1" x14ac:dyDescent="0.4">
      <c r="E6" s="133" t="s">
        <v>124</v>
      </c>
      <c r="F6" s="154"/>
      <c r="G6" s="133" t="s">
        <v>155</v>
      </c>
      <c r="H6" s="154"/>
      <c r="I6" s="133" t="s">
        <v>137</v>
      </c>
      <c r="J6" s="99"/>
      <c r="L6" s="127" t="s">
        <v>7</v>
      </c>
    </row>
    <row r="7" spans="1:12" ht="20.100000000000001" customHeight="1" x14ac:dyDescent="0.4">
      <c r="E7" s="133" t="s">
        <v>127</v>
      </c>
      <c r="F7" s="154"/>
      <c r="G7" s="133" t="s">
        <v>46</v>
      </c>
      <c r="H7" s="154"/>
      <c r="I7" s="133" t="s">
        <v>63</v>
      </c>
      <c r="J7" s="99"/>
      <c r="L7" s="127" t="s">
        <v>69</v>
      </c>
    </row>
    <row r="8" spans="1:12" ht="20.100000000000001" customHeight="1" x14ac:dyDescent="0.4">
      <c r="E8" s="133" t="s">
        <v>60</v>
      </c>
      <c r="F8" s="154"/>
      <c r="G8" s="133" t="s">
        <v>48</v>
      </c>
      <c r="H8" s="154"/>
      <c r="I8" s="133" t="s">
        <v>139</v>
      </c>
      <c r="J8" s="99"/>
      <c r="L8" s="127" t="s">
        <v>87</v>
      </c>
    </row>
    <row r="9" spans="1:12" ht="20.100000000000001" customHeight="1" x14ac:dyDescent="0.4">
      <c r="E9" s="133" t="s">
        <v>129</v>
      </c>
      <c r="F9" s="154" t="s">
        <v>35</v>
      </c>
      <c r="G9" s="133" t="s">
        <v>163</v>
      </c>
      <c r="H9" s="154"/>
      <c r="I9" s="133" t="s">
        <v>141</v>
      </c>
      <c r="J9" s="99"/>
      <c r="L9" s="127" t="s">
        <v>42</v>
      </c>
    </row>
    <row r="10" spans="1:12" ht="20.100000000000001" customHeight="1" x14ac:dyDescent="0.4">
      <c r="E10" s="133" t="s">
        <v>131</v>
      </c>
      <c r="F10" s="154"/>
      <c r="G10" s="133" t="s">
        <v>165</v>
      </c>
      <c r="H10" s="154"/>
      <c r="I10" s="133" t="s">
        <v>104</v>
      </c>
      <c r="J10" s="99"/>
      <c r="L10" s="127" t="s">
        <v>110</v>
      </c>
    </row>
    <row r="11" spans="1:12" ht="20.100000000000001" customHeight="1" x14ac:dyDescent="0.4">
      <c r="E11" s="133" t="s">
        <v>101</v>
      </c>
      <c r="F11" s="154"/>
      <c r="G11" s="133" t="s">
        <v>54</v>
      </c>
      <c r="H11" s="154"/>
      <c r="I11" s="133" t="s">
        <v>66</v>
      </c>
      <c r="J11" s="99"/>
      <c r="L11" s="127" t="s">
        <v>151</v>
      </c>
    </row>
    <row r="12" spans="1:12" ht="20.100000000000001" customHeight="1" thickBot="1" x14ac:dyDescent="0.45">
      <c r="E12" s="133" t="s">
        <v>133</v>
      </c>
      <c r="F12" s="154"/>
      <c r="G12" s="134" t="s">
        <v>93</v>
      </c>
      <c r="H12" s="156"/>
      <c r="I12" s="133" t="s">
        <v>106</v>
      </c>
      <c r="J12" s="99"/>
      <c r="L12" s="127" t="s">
        <v>44</v>
      </c>
    </row>
    <row r="13" spans="1:12" ht="20.100000000000001" customHeight="1" x14ac:dyDescent="0.4">
      <c r="E13" s="133" t="s">
        <v>135</v>
      </c>
      <c r="F13" s="99"/>
      <c r="I13" s="133" t="s">
        <v>124</v>
      </c>
      <c r="J13" s="99" t="s">
        <v>35</v>
      </c>
      <c r="L13" s="127" t="s">
        <v>153</v>
      </c>
    </row>
    <row r="14" spans="1:12" ht="20.100000000000001" customHeight="1" x14ac:dyDescent="0.4">
      <c r="E14" s="133" t="s">
        <v>137</v>
      </c>
      <c r="F14" s="99"/>
      <c r="I14" s="133" t="s">
        <v>40</v>
      </c>
      <c r="J14" s="99"/>
      <c r="L14" s="127" t="s">
        <v>157</v>
      </c>
    </row>
    <row r="15" spans="1:12" ht="20.100000000000001" customHeight="1" thickBot="1" x14ac:dyDescent="0.45">
      <c r="E15" s="133" t="s">
        <v>63</v>
      </c>
      <c r="F15" s="99"/>
      <c r="I15" s="134" t="s">
        <v>145</v>
      </c>
      <c r="J15" s="135"/>
      <c r="L15" s="127" t="s">
        <v>159</v>
      </c>
    </row>
    <row r="16" spans="1:12" ht="20.100000000000001" customHeight="1" x14ac:dyDescent="0.4">
      <c r="E16" s="133" t="s">
        <v>139</v>
      </c>
      <c r="F16" s="99"/>
      <c r="L16" s="127" t="s">
        <v>161</v>
      </c>
    </row>
    <row r="17" spans="5:12" ht="20.100000000000001" customHeight="1" x14ac:dyDescent="0.4">
      <c r="E17" s="133" t="s">
        <v>141</v>
      </c>
      <c r="F17" s="99"/>
      <c r="L17" s="127" t="s">
        <v>167</v>
      </c>
    </row>
    <row r="18" spans="5:12" ht="20.100000000000001" customHeight="1" x14ac:dyDescent="0.4">
      <c r="E18" s="133" t="s">
        <v>104</v>
      </c>
      <c r="F18" s="99"/>
      <c r="L18" s="127" t="s">
        <v>71</v>
      </c>
    </row>
    <row r="19" spans="5:12" ht="20.100000000000001" customHeight="1" thickBot="1" x14ac:dyDescent="0.45">
      <c r="E19" s="134" t="s">
        <v>66</v>
      </c>
      <c r="F19" s="135"/>
      <c r="L19" s="127" t="s">
        <v>112</v>
      </c>
    </row>
    <row r="20" spans="5:12" ht="20.100000000000001" customHeight="1" x14ac:dyDescent="0.4">
      <c r="L20" s="127" t="s">
        <v>169</v>
      </c>
    </row>
    <row r="21" spans="5:12" ht="20.100000000000001" customHeight="1" x14ac:dyDescent="0.4">
      <c r="L21" s="127" t="s">
        <v>171</v>
      </c>
    </row>
    <row r="22" spans="5:12" ht="20.100000000000001" customHeight="1" x14ac:dyDescent="0.4">
      <c r="L22" s="127" t="s">
        <v>52</v>
      </c>
    </row>
    <row r="23" spans="5:12" ht="20.100000000000001" customHeight="1" x14ac:dyDescent="0.4">
      <c r="L23" s="127" t="s">
        <v>175</v>
      </c>
    </row>
    <row r="24" spans="5:12" ht="20.100000000000001" customHeight="1" x14ac:dyDescent="0.4">
      <c r="L24" s="127" t="s">
        <v>56</v>
      </c>
    </row>
    <row r="25" spans="5:12" ht="20.100000000000001" customHeight="1" x14ac:dyDescent="0.4">
      <c r="L25" s="127" t="s">
        <v>177</v>
      </c>
    </row>
    <row r="26" spans="5:12" ht="20.100000000000001" customHeight="1" x14ac:dyDescent="0.4">
      <c r="L26" s="127" t="s">
        <v>114</v>
      </c>
    </row>
    <row r="27" spans="5:12" ht="20.100000000000001" customHeight="1" x14ac:dyDescent="0.4">
      <c r="L27" s="127" t="s">
        <v>58</v>
      </c>
    </row>
    <row r="28" spans="5:12" ht="20.100000000000001" customHeight="1" x14ac:dyDescent="0.4">
      <c r="L28" s="127" t="s">
        <v>179</v>
      </c>
    </row>
    <row r="29" spans="5:12" ht="20.100000000000001" customHeight="1" x14ac:dyDescent="0.4">
      <c r="L29" s="127" t="s">
        <v>181</v>
      </c>
    </row>
    <row r="30" spans="5:12" ht="20.100000000000001" customHeight="1" x14ac:dyDescent="0.4">
      <c r="L30" s="127" t="s">
        <v>195</v>
      </c>
    </row>
    <row r="31" spans="5:12" ht="20.100000000000001" customHeight="1" x14ac:dyDescent="0.4">
      <c r="L31" s="127" t="s">
        <v>89</v>
      </c>
    </row>
    <row r="32" spans="5:12" ht="20.100000000000001" customHeight="1" x14ac:dyDescent="0.4">
      <c r="L32" s="127" t="s">
        <v>173</v>
      </c>
    </row>
    <row r="33" spans="12:12" ht="20.100000000000001" customHeight="1" x14ac:dyDescent="0.4">
      <c r="L33" s="127" t="s">
        <v>73</v>
      </c>
    </row>
    <row r="34" spans="12:12" ht="20.100000000000001" customHeight="1" x14ac:dyDescent="0.4">
      <c r="L34" s="127" t="s">
        <v>183</v>
      </c>
    </row>
    <row r="35" spans="12:12" ht="20.100000000000001" customHeight="1" x14ac:dyDescent="0.4">
      <c r="L35" s="127" t="s">
        <v>185</v>
      </c>
    </row>
    <row r="36" spans="12:12" ht="20.100000000000001" customHeight="1" x14ac:dyDescent="0.4">
      <c r="L36" s="127" t="s">
        <v>187</v>
      </c>
    </row>
    <row r="37" spans="12:12" ht="20.100000000000001" customHeight="1" x14ac:dyDescent="0.4">
      <c r="L37" s="127" t="s">
        <v>97</v>
      </c>
    </row>
    <row r="38" spans="12:12" ht="20.100000000000001" customHeight="1" x14ac:dyDescent="0.4">
      <c r="L38" s="127" t="s">
        <v>81</v>
      </c>
    </row>
    <row r="39" spans="12:12" ht="20.100000000000001" customHeight="1" x14ac:dyDescent="0.4">
      <c r="L39" s="127" t="s">
        <v>189</v>
      </c>
    </row>
    <row r="40" spans="12:12" ht="20.100000000000001" customHeight="1" x14ac:dyDescent="0.4">
      <c r="L40" s="127" t="s">
        <v>77</v>
      </c>
    </row>
    <row r="41" spans="12:12" ht="20.100000000000001" customHeight="1" x14ac:dyDescent="0.4">
      <c r="L41" s="127" t="s">
        <v>191</v>
      </c>
    </row>
    <row r="42" spans="12:12" ht="20.100000000000001" customHeight="1" x14ac:dyDescent="0.4">
      <c r="L42" s="127" t="s">
        <v>75</v>
      </c>
    </row>
    <row r="43" spans="12:12" ht="20.100000000000001" customHeight="1" x14ac:dyDescent="0.4">
      <c r="L43" s="127" t="s">
        <v>99</v>
      </c>
    </row>
    <row r="44" spans="12:12" ht="20.100000000000001" customHeight="1" x14ac:dyDescent="0.4">
      <c r="L44" s="127" t="s">
        <v>143</v>
      </c>
    </row>
    <row r="45" spans="12:12" ht="20.100000000000001" customHeight="1" x14ac:dyDescent="0.4">
      <c r="L45" s="127" t="s">
        <v>50</v>
      </c>
    </row>
    <row r="46" spans="12:12" ht="20.100000000000001" customHeight="1" x14ac:dyDescent="0.4">
      <c r="L46" s="127" t="s">
        <v>95</v>
      </c>
    </row>
    <row r="47" spans="12:12" ht="20.100000000000001" customHeight="1" x14ac:dyDescent="0.4">
      <c r="L47" s="127" t="s">
        <v>193</v>
      </c>
    </row>
    <row r="48" spans="12:12" ht="20.100000000000001" customHeight="1" x14ac:dyDescent="0.4">
      <c r="L48" s="127" t="s">
        <v>116</v>
      </c>
    </row>
    <row r="49" spans="12:12" ht="20.100000000000001" customHeight="1" x14ac:dyDescent="0.4">
      <c r="L49" s="127" t="s">
        <v>79</v>
      </c>
    </row>
    <row r="50" spans="12:12" ht="20.100000000000001" customHeight="1" x14ac:dyDescent="0.4">
      <c r="L50" s="127" t="s">
        <v>85</v>
      </c>
    </row>
    <row r="51" spans="12:12" ht="20.100000000000001" customHeight="1" x14ac:dyDescent="0.4">
      <c r="L51" s="127" t="s">
        <v>149</v>
      </c>
    </row>
    <row r="52" spans="12:12" ht="20.100000000000001" customHeight="1" x14ac:dyDescent="0.4">
      <c r="L52" s="127" t="s">
        <v>118</v>
      </c>
    </row>
    <row r="53" spans="12:12" ht="20.100000000000001" customHeight="1" thickBot="1" x14ac:dyDescent="0.45">
      <c r="L53" s="128" t="s">
        <v>83</v>
      </c>
    </row>
  </sheetData>
  <mergeCells count="5">
    <mergeCell ref="A3:B3"/>
    <mergeCell ref="C3:D3"/>
    <mergeCell ref="E3:F3"/>
    <mergeCell ref="G3:H3"/>
    <mergeCell ref="I3:J3"/>
  </mergeCells>
  <phoneticPr fontId="1"/>
  <conditionalFormatting sqref="A3:J3">
    <cfRule type="endsWith" dxfId="171" priority="1" stopIfTrue="1" operator="endsWith" text="被ばく">
      <formula>RIGHT(A3,LEN("被ばく"))="被ばく"</formula>
    </cfRule>
    <cfRule type="endsWith" dxfId="170" priority="2" stopIfTrue="1" operator="endsWith" text="医療安全">
      <formula>RIGHT(A3,LEN("医療安全"))="医療安全"</formula>
    </cfRule>
    <cfRule type="endsWith" dxfId="169" priority="3" stopIfTrue="1" operator="endsWith" text="システム">
      <formula>RIGHT(A3,LEN("システム"))="システム"</formula>
    </cfRule>
    <cfRule type="endsWith" dxfId="168" priority="4" stopIfTrue="1" operator="endsWith" text="装置管理">
      <formula>RIGHT(A3,LEN("装置管理"))="装置管理"</formula>
    </cfRule>
    <cfRule type="endsWith" dxfId="167" priority="5" stopIfTrue="1" operator="endsWith" text="業務改善">
      <formula>RIGHT(A3,LEN("業務改善"))="業務改善"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alendarBox">
          <controlPr defaultSize="0" autoLine="0" autoPict="0" r:id="rId4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2</xdr:col>
                <xdr:colOff>276225</xdr:colOff>
                <xdr:row>1</xdr:row>
                <xdr:rowOff>171450</xdr:rowOff>
              </to>
            </anchor>
          </controlPr>
        </control>
      </mc:Choice>
      <mc:Fallback>
        <control shapeId="6145" r:id="rId3" name="Calendar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5CED-EA2B-43AD-883A-D777D3D08914}">
  <sheetPr codeName="Sheet5"/>
  <dimension ref="A2:Q81"/>
  <sheetViews>
    <sheetView topLeftCell="A63" workbookViewId="0">
      <selection activeCell="L10" sqref="L10"/>
    </sheetView>
  </sheetViews>
  <sheetFormatPr defaultColWidth="9" defaultRowHeight="20.100000000000001" customHeight="1" x14ac:dyDescent="0.4"/>
  <cols>
    <col min="1" max="1" width="5.625" style="92" customWidth="1"/>
    <col min="2" max="2" width="8.625" style="92" customWidth="1"/>
    <col min="3" max="3" width="10.625" style="92" customWidth="1"/>
    <col min="4" max="16" width="7.625" style="92" customWidth="1"/>
    <col min="17" max="17" width="6.625" style="92" customWidth="1"/>
    <col min="18" max="16384" width="9" style="92"/>
  </cols>
  <sheetData>
    <row r="2" spans="1:17" ht="20.100000000000001" customHeight="1" thickBot="1" x14ac:dyDescent="0.45"/>
    <row r="3" spans="1:17" ht="80.099999999999994" customHeight="1" thickBot="1" x14ac:dyDescent="0.45">
      <c r="D3" s="118">
        <v>45017</v>
      </c>
      <c r="E3" s="116">
        <v>45047</v>
      </c>
      <c r="F3" s="116">
        <v>45078</v>
      </c>
      <c r="G3" s="116">
        <v>45108</v>
      </c>
      <c r="H3" s="116">
        <v>45139</v>
      </c>
      <c r="I3" s="117">
        <v>45170</v>
      </c>
      <c r="J3" s="116">
        <v>45200</v>
      </c>
      <c r="K3" s="116">
        <v>45231</v>
      </c>
      <c r="L3" s="116">
        <v>45261</v>
      </c>
      <c r="M3" s="116">
        <v>45292</v>
      </c>
      <c r="N3" s="116">
        <v>45323</v>
      </c>
      <c r="O3" s="116">
        <v>45352</v>
      </c>
      <c r="P3" s="152">
        <v>45383</v>
      </c>
      <c r="Q3" s="162" t="s">
        <v>204</v>
      </c>
    </row>
    <row r="4" spans="1:17" ht="20.100000000000001" customHeight="1" x14ac:dyDescent="0.4">
      <c r="A4" s="104">
        <v>8</v>
      </c>
      <c r="B4" s="88" t="s">
        <v>59</v>
      </c>
      <c r="C4" s="90" t="s">
        <v>60</v>
      </c>
      <c r="D4" s="93" t="s">
        <v>61</v>
      </c>
      <c r="E4" s="94" t="s">
        <v>61</v>
      </c>
      <c r="F4" s="94" t="s">
        <v>61</v>
      </c>
      <c r="G4" s="94" t="s">
        <v>61</v>
      </c>
      <c r="H4" s="94" t="s">
        <v>61</v>
      </c>
      <c r="I4" s="119" t="s">
        <v>61</v>
      </c>
      <c r="J4" s="94" t="s">
        <v>61</v>
      </c>
      <c r="K4" s="94" t="s">
        <v>349</v>
      </c>
      <c r="L4" s="94" t="s">
        <v>359</v>
      </c>
      <c r="M4" s="94"/>
      <c r="N4" s="94"/>
      <c r="O4" s="94"/>
      <c r="P4" s="153"/>
      <c r="Q4" s="126">
        <v>40</v>
      </c>
    </row>
    <row r="5" spans="1:17" ht="20.100000000000001" customHeight="1" x14ac:dyDescent="0.4">
      <c r="A5" s="105">
        <v>4</v>
      </c>
      <c r="B5" s="89" t="s">
        <v>36</v>
      </c>
      <c r="C5" s="91" t="s">
        <v>37</v>
      </c>
      <c r="D5" s="95" t="s">
        <v>38</v>
      </c>
      <c r="E5" s="96" t="s">
        <v>38</v>
      </c>
      <c r="F5" s="96" t="s">
        <v>38</v>
      </c>
      <c r="G5" s="96" t="s">
        <v>38</v>
      </c>
      <c r="H5" s="96" t="s">
        <v>38</v>
      </c>
      <c r="I5" s="120" t="s">
        <v>38</v>
      </c>
      <c r="J5" s="96"/>
      <c r="K5" s="96" t="s">
        <v>349</v>
      </c>
      <c r="L5" s="96" t="s">
        <v>359</v>
      </c>
      <c r="M5" s="96"/>
      <c r="N5" s="96"/>
      <c r="O5" s="96"/>
      <c r="P5" s="154"/>
      <c r="Q5" s="127">
        <v>40</v>
      </c>
    </row>
    <row r="6" spans="1:17" ht="20.100000000000001" customHeight="1" x14ac:dyDescent="0.4">
      <c r="A6" s="105">
        <v>20</v>
      </c>
      <c r="B6" s="89" t="s">
        <v>39</v>
      </c>
      <c r="C6" s="91" t="s">
        <v>40</v>
      </c>
      <c r="D6" s="95" t="s">
        <v>38</v>
      </c>
      <c r="E6" s="96" t="s">
        <v>38</v>
      </c>
      <c r="F6" s="96" t="s">
        <v>38</v>
      </c>
      <c r="G6" s="96" t="s">
        <v>38</v>
      </c>
      <c r="H6" s="96" t="s">
        <v>38</v>
      </c>
      <c r="I6" s="120" t="s">
        <v>38</v>
      </c>
      <c r="J6" s="96"/>
      <c r="K6" s="96"/>
      <c r="L6" s="96"/>
      <c r="M6" s="96"/>
      <c r="N6" s="96"/>
      <c r="O6" s="96"/>
      <c r="P6" s="154"/>
      <c r="Q6" s="127">
        <v>40</v>
      </c>
    </row>
    <row r="7" spans="1:17" ht="20.100000000000001" customHeight="1" x14ac:dyDescent="0.4">
      <c r="A7" s="105">
        <v>32</v>
      </c>
      <c r="B7" s="89" t="s">
        <v>41</v>
      </c>
      <c r="C7" s="91" t="s">
        <v>42</v>
      </c>
      <c r="D7" s="95" t="s">
        <v>38</v>
      </c>
      <c r="E7" s="96" t="s">
        <v>38</v>
      </c>
      <c r="F7" s="96" t="s">
        <v>38</v>
      </c>
      <c r="G7" s="96" t="s">
        <v>38</v>
      </c>
      <c r="H7" s="96" t="s">
        <v>38</v>
      </c>
      <c r="I7" s="120" t="s">
        <v>38</v>
      </c>
      <c r="J7" s="96"/>
      <c r="K7" s="96"/>
      <c r="L7" s="96"/>
      <c r="M7" s="96"/>
      <c r="N7" s="96"/>
      <c r="O7" s="96"/>
      <c r="P7" s="154"/>
      <c r="Q7" s="127">
        <v>40</v>
      </c>
    </row>
    <row r="8" spans="1:17" ht="20.100000000000001" customHeight="1" x14ac:dyDescent="0.4">
      <c r="A8" s="106">
        <v>36</v>
      </c>
      <c r="B8" s="102" t="s">
        <v>43</v>
      </c>
      <c r="C8" s="103" t="s">
        <v>44</v>
      </c>
      <c r="D8" s="97" t="s">
        <v>38</v>
      </c>
      <c r="E8" s="98" t="s">
        <v>38</v>
      </c>
      <c r="F8" s="98" t="s">
        <v>38</v>
      </c>
      <c r="G8" s="98" t="s">
        <v>38</v>
      </c>
      <c r="H8" s="98" t="s">
        <v>38</v>
      </c>
      <c r="I8" s="121" t="s">
        <v>38</v>
      </c>
      <c r="J8" s="98"/>
      <c r="K8" s="98"/>
      <c r="L8" s="98"/>
      <c r="M8" s="98"/>
      <c r="N8" s="98"/>
      <c r="O8" s="98"/>
      <c r="P8" s="155"/>
      <c r="Q8" s="158">
        <v>40</v>
      </c>
    </row>
    <row r="9" spans="1:17" ht="20.100000000000001" customHeight="1" x14ac:dyDescent="0.4">
      <c r="A9" s="107">
        <v>41</v>
      </c>
      <c r="B9" s="108" t="s">
        <v>45</v>
      </c>
      <c r="C9" s="109" t="s">
        <v>46</v>
      </c>
      <c r="D9" s="110" t="s">
        <v>38</v>
      </c>
      <c r="E9" s="111" t="s">
        <v>38</v>
      </c>
      <c r="F9" s="111" t="s">
        <v>61</v>
      </c>
      <c r="G9" s="111" t="s">
        <v>38</v>
      </c>
      <c r="H9" s="111" t="s">
        <v>38</v>
      </c>
      <c r="I9" s="122" t="s">
        <v>38</v>
      </c>
      <c r="J9" s="111"/>
      <c r="K9" s="111"/>
      <c r="L9" s="111"/>
      <c r="M9" s="111"/>
      <c r="N9" s="111"/>
      <c r="O9" s="111"/>
      <c r="P9" s="159"/>
      <c r="Q9" s="160">
        <v>40</v>
      </c>
    </row>
    <row r="10" spans="1:17" ht="20.100000000000001" customHeight="1" x14ac:dyDescent="0.4">
      <c r="A10" s="112">
        <v>43</v>
      </c>
      <c r="B10" s="100" t="s">
        <v>47</v>
      </c>
      <c r="C10" s="101" t="s">
        <v>48</v>
      </c>
      <c r="D10" s="113" t="s">
        <v>38</v>
      </c>
      <c r="E10" s="114" t="s">
        <v>38</v>
      </c>
      <c r="F10" s="114" t="s">
        <v>38</v>
      </c>
      <c r="G10" s="114" t="s">
        <v>38</v>
      </c>
      <c r="H10" s="114" t="s">
        <v>38</v>
      </c>
      <c r="I10" s="123" t="s">
        <v>38</v>
      </c>
      <c r="J10" s="114"/>
      <c r="K10" s="114"/>
      <c r="L10" s="114"/>
      <c r="M10" s="114"/>
      <c r="N10" s="114"/>
      <c r="O10" s="114"/>
      <c r="P10" s="157"/>
      <c r="Q10" s="161">
        <v>40</v>
      </c>
    </row>
    <row r="11" spans="1:17" ht="20.100000000000001" customHeight="1" x14ac:dyDescent="0.4">
      <c r="A11" s="105">
        <v>90</v>
      </c>
      <c r="B11" s="89" t="s">
        <v>49</v>
      </c>
      <c r="C11" s="91" t="s">
        <v>50</v>
      </c>
      <c r="D11" s="95" t="s">
        <v>38</v>
      </c>
      <c r="E11" s="96" t="s">
        <v>38</v>
      </c>
      <c r="F11" s="96" t="s">
        <v>38</v>
      </c>
      <c r="G11" s="96" t="s">
        <v>38</v>
      </c>
      <c r="H11" s="96" t="s">
        <v>38</v>
      </c>
      <c r="I11" s="120" t="s">
        <v>38</v>
      </c>
      <c r="J11" s="96"/>
      <c r="K11" s="96"/>
      <c r="L11" s="96"/>
      <c r="M11" s="96"/>
      <c r="N11" s="96"/>
      <c r="O11" s="96"/>
      <c r="P11" s="154"/>
      <c r="Q11" s="127">
        <v>40</v>
      </c>
    </row>
    <row r="12" spans="1:17" ht="20.100000000000001" customHeight="1" x14ac:dyDescent="0.4">
      <c r="A12" s="105">
        <v>54</v>
      </c>
      <c r="B12" s="89" t="s">
        <v>51</v>
      </c>
      <c r="C12" s="91" t="s">
        <v>52</v>
      </c>
      <c r="D12" s="95" t="s">
        <v>38</v>
      </c>
      <c r="E12" s="96" t="s">
        <v>38</v>
      </c>
      <c r="F12" s="96" t="s">
        <v>38</v>
      </c>
      <c r="G12" s="96" t="s">
        <v>38</v>
      </c>
      <c r="H12" s="96" t="s">
        <v>38</v>
      </c>
      <c r="I12" s="120" t="s">
        <v>38</v>
      </c>
      <c r="J12" s="96"/>
      <c r="K12" s="96"/>
      <c r="L12" s="96"/>
      <c r="M12" s="96"/>
      <c r="N12" s="96"/>
      <c r="O12" s="96"/>
      <c r="P12" s="154"/>
      <c r="Q12" s="127">
        <v>35</v>
      </c>
    </row>
    <row r="13" spans="1:17" ht="20.100000000000001" customHeight="1" x14ac:dyDescent="0.4">
      <c r="A13" s="106">
        <v>56</v>
      </c>
      <c r="B13" s="102" t="s">
        <v>53</v>
      </c>
      <c r="C13" s="103" t="s">
        <v>54</v>
      </c>
      <c r="D13" s="97" t="s">
        <v>38</v>
      </c>
      <c r="E13" s="98" t="s">
        <v>38</v>
      </c>
      <c r="F13" s="98" t="s">
        <v>64</v>
      </c>
      <c r="G13" s="98" t="s">
        <v>38</v>
      </c>
      <c r="H13" s="98" t="s">
        <v>38</v>
      </c>
      <c r="I13" s="121" t="s">
        <v>38</v>
      </c>
      <c r="J13" s="98"/>
      <c r="K13" s="98"/>
      <c r="L13" s="98"/>
      <c r="M13" s="98"/>
      <c r="N13" s="98"/>
      <c r="O13" s="98"/>
      <c r="P13" s="155"/>
      <c r="Q13" s="158">
        <v>35</v>
      </c>
    </row>
    <row r="14" spans="1:17" ht="20.100000000000001" customHeight="1" x14ac:dyDescent="0.4">
      <c r="A14" s="107">
        <v>62</v>
      </c>
      <c r="B14" s="108" t="s">
        <v>55</v>
      </c>
      <c r="C14" s="109" t="s">
        <v>56</v>
      </c>
      <c r="D14" s="110" t="s">
        <v>38</v>
      </c>
      <c r="E14" s="111" t="s">
        <v>38</v>
      </c>
      <c r="F14" s="111" t="s">
        <v>61</v>
      </c>
      <c r="G14" s="111" t="s">
        <v>38</v>
      </c>
      <c r="H14" s="111" t="s">
        <v>38</v>
      </c>
      <c r="I14" s="122" t="s">
        <v>38</v>
      </c>
      <c r="J14" s="111"/>
      <c r="K14" s="111"/>
      <c r="L14" s="111"/>
      <c r="M14" s="111"/>
      <c r="N14" s="111"/>
      <c r="O14" s="111"/>
      <c r="P14" s="159"/>
      <c r="Q14" s="160">
        <v>30</v>
      </c>
    </row>
    <row r="15" spans="1:17" ht="20.100000000000001" customHeight="1" x14ac:dyDescent="0.4">
      <c r="A15" s="112">
        <v>66</v>
      </c>
      <c r="B15" s="100" t="s">
        <v>57</v>
      </c>
      <c r="C15" s="101" t="s">
        <v>58</v>
      </c>
      <c r="D15" s="113" t="s">
        <v>38</v>
      </c>
      <c r="E15" s="114" t="s">
        <v>38</v>
      </c>
      <c r="F15" s="114" t="s">
        <v>38</v>
      </c>
      <c r="G15" s="114" t="s">
        <v>38</v>
      </c>
      <c r="H15" s="114" t="s">
        <v>38</v>
      </c>
      <c r="I15" s="123" t="s">
        <v>38</v>
      </c>
      <c r="J15" s="114"/>
      <c r="K15" s="114"/>
      <c r="L15" s="114"/>
      <c r="M15" s="114"/>
      <c r="N15" s="114"/>
      <c r="O15" s="114"/>
      <c r="P15" s="157"/>
      <c r="Q15" s="161">
        <v>30</v>
      </c>
    </row>
    <row r="16" spans="1:17" ht="20.100000000000001" customHeight="1" x14ac:dyDescent="0.4">
      <c r="A16" s="105">
        <v>15</v>
      </c>
      <c r="B16" s="89" t="s">
        <v>62</v>
      </c>
      <c r="C16" s="91" t="s">
        <v>63</v>
      </c>
      <c r="D16" s="95" t="s">
        <v>19</v>
      </c>
      <c r="E16" s="96" t="s">
        <v>19</v>
      </c>
      <c r="F16" s="96" t="s">
        <v>19</v>
      </c>
      <c r="G16" s="96" t="s">
        <v>19</v>
      </c>
      <c r="H16" s="96" t="s">
        <v>19</v>
      </c>
      <c r="I16" s="120" t="s">
        <v>64</v>
      </c>
      <c r="J16" s="96"/>
      <c r="K16" s="96" t="s">
        <v>349</v>
      </c>
      <c r="L16" s="96"/>
      <c r="M16" s="96"/>
      <c r="N16" s="96"/>
      <c r="O16" s="96"/>
      <c r="P16" s="154"/>
      <c r="Q16" s="127">
        <v>40</v>
      </c>
    </row>
    <row r="17" spans="1:17" ht="20.100000000000001" customHeight="1" x14ac:dyDescent="0.4">
      <c r="A17" s="105">
        <v>19</v>
      </c>
      <c r="B17" s="89" t="s">
        <v>65</v>
      </c>
      <c r="C17" s="91" t="s">
        <v>66</v>
      </c>
      <c r="D17" s="95" t="s">
        <v>102</v>
      </c>
      <c r="E17" s="96" t="s">
        <v>19</v>
      </c>
      <c r="F17" s="96" t="s">
        <v>19</v>
      </c>
      <c r="G17" s="96" t="s">
        <v>102</v>
      </c>
      <c r="H17" s="96" t="s">
        <v>102</v>
      </c>
      <c r="I17" s="120" t="s">
        <v>64</v>
      </c>
      <c r="J17" s="96"/>
      <c r="K17" s="96"/>
      <c r="L17" s="96"/>
      <c r="M17" s="96"/>
      <c r="N17" s="96"/>
      <c r="O17" s="96"/>
      <c r="P17" s="154"/>
      <c r="Q17" s="127">
        <v>40</v>
      </c>
    </row>
    <row r="18" spans="1:17" ht="20.100000000000001" customHeight="1" x14ac:dyDescent="0.4">
      <c r="A18" s="106">
        <v>28</v>
      </c>
      <c r="B18" s="102" t="s">
        <v>67</v>
      </c>
      <c r="C18" s="103" t="s">
        <v>7</v>
      </c>
      <c r="D18" s="97" t="s">
        <v>64</v>
      </c>
      <c r="E18" s="98" t="s">
        <v>64</v>
      </c>
      <c r="F18" s="98" t="s">
        <v>64</v>
      </c>
      <c r="G18" s="98" t="s">
        <v>64</v>
      </c>
      <c r="H18" s="98" t="s">
        <v>102</v>
      </c>
      <c r="I18" s="121" t="s">
        <v>64</v>
      </c>
      <c r="J18" s="98"/>
      <c r="K18" s="98"/>
      <c r="L18" s="98"/>
      <c r="M18" s="98"/>
      <c r="N18" s="98"/>
      <c r="O18" s="98"/>
      <c r="P18" s="155"/>
      <c r="Q18" s="158">
        <v>40</v>
      </c>
    </row>
    <row r="19" spans="1:17" ht="20.100000000000001" customHeight="1" x14ac:dyDescent="0.4">
      <c r="A19" s="107">
        <v>29</v>
      </c>
      <c r="B19" s="108" t="s">
        <v>68</v>
      </c>
      <c r="C19" s="109" t="s">
        <v>69</v>
      </c>
      <c r="D19" s="110" t="s">
        <v>19</v>
      </c>
      <c r="E19" s="111" t="s">
        <v>19</v>
      </c>
      <c r="F19" s="111" t="s">
        <v>19</v>
      </c>
      <c r="G19" s="111" t="s">
        <v>102</v>
      </c>
      <c r="H19" s="111" t="s">
        <v>19</v>
      </c>
      <c r="I19" s="122" t="s">
        <v>64</v>
      </c>
      <c r="J19" s="111"/>
      <c r="K19" s="111"/>
      <c r="L19" s="111"/>
      <c r="M19" s="111"/>
      <c r="N19" s="111"/>
      <c r="O19" s="111"/>
      <c r="P19" s="159"/>
      <c r="Q19" s="160">
        <v>40</v>
      </c>
    </row>
    <row r="20" spans="1:17" ht="20.100000000000001" customHeight="1" x14ac:dyDescent="0.4">
      <c r="A20" s="112">
        <v>47</v>
      </c>
      <c r="B20" s="100" t="s">
        <v>70</v>
      </c>
      <c r="C20" s="101" t="s">
        <v>71</v>
      </c>
      <c r="D20" s="113" t="s">
        <v>64</v>
      </c>
      <c r="E20" s="114" t="s">
        <v>64</v>
      </c>
      <c r="F20" s="114" t="s">
        <v>19</v>
      </c>
      <c r="G20" s="114" t="s">
        <v>64</v>
      </c>
      <c r="H20" s="114" t="s">
        <v>64</v>
      </c>
      <c r="I20" s="123" t="s">
        <v>64</v>
      </c>
      <c r="J20" s="114"/>
      <c r="K20" s="114"/>
      <c r="L20" s="114"/>
      <c r="M20" s="114"/>
      <c r="N20" s="114"/>
      <c r="O20" s="114"/>
      <c r="P20" s="157"/>
      <c r="Q20" s="161">
        <v>40</v>
      </c>
    </row>
    <row r="21" spans="1:17" ht="20.100000000000001" customHeight="1" x14ac:dyDescent="0.4">
      <c r="A21" s="105">
        <v>74</v>
      </c>
      <c r="B21" s="89" t="s">
        <v>72</v>
      </c>
      <c r="C21" s="91" t="s">
        <v>73</v>
      </c>
      <c r="D21" s="95" t="s">
        <v>64</v>
      </c>
      <c r="E21" s="96" t="s">
        <v>64</v>
      </c>
      <c r="F21" s="96" t="s">
        <v>102</v>
      </c>
      <c r="G21" s="96" t="s">
        <v>64</v>
      </c>
      <c r="H21" s="96" t="s">
        <v>19</v>
      </c>
      <c r="I21" s="120" t="s">
        <v>64</v>
      </c>
      <c r="J21" s="96"/>
      <c r="K21" s="96"/>
      <c r="L21" s="96"/>
      <c r="M21" s="96"/>
      <c r="N21" s="96"/>
      <c r="O21" s="96"/>
      <c r="P21" s="154"/>
      <c r="Q21" s="127">
        <v>25</v>
      </c>
    </row>
    <row r="22" spans="1:17" ht="20.100000000000001" customHeight="1" x14ac:dyDescent="0.4">
      <c r="A22" s="105">
        <v>85</v>
      </c>
      <c r="B22" s="89" t="s">
        <v>74</v>
      </c>
      <c r="C22" s="91" t="s">
        <v>75</v>
      </c>
      <c r="D22" s="95" t="s">
        <v>64</v>
      </c>
      <c r="E22" s="96" t="s">
        <v>64</v>
      </c>
      <c r="F22" s="96" t="s">
        <v>19</v>
      </c>
      <c r="G22" s="96" t="s">
        <v>19</v>
      </c>
      <c r="H22" s="96" t="s">
        <v>19</v>
      </c>
      <c r="I22" s="120" t="s">
        <v>64</v>
      </c>
      <c r="J22" s="96"/>
      <c r="K22" s="96"/>
      <c r="L22" s="96"/>
      <c r="M22" s="96"/>
      <c r="N22" s="96"/>
      <c r="O22" s="96"/>
      <c r="P22" s="154"/>
      <c r="Q22" s="127">
        <v>23</v>
      </c>
    </row>
    <row r="23" spans="1:17" ht="20.100000000000001" customHeight="1" x14ac:dyDescent="0.4">
      <c r="A23" s="106">
        <v>82</v>
      </c>
      <c r="B23" s="102" t="s">
        <v>76</v>
      </c>
      <c r="C23" s="103" t="s">
        <v>77</v>
      </c>
      <c r="D23" s="97" t="s">
        <v>64</v>
      </c>
      <c r="E23" s="98" t="s">
        <v>64</v>
      </c>
      <c r="F23" s="98" t="s">
        <v>64</v>
      </c>
      <c r="G23" s="98" t="s">
        <v>64</v>
      </c>
      <c r="H23" s="98" t="s">
        <v>102</v>
      </c>
      <c r="I23" s="121" t="s">
        <v>64</v>
      </c>
      <c r="J23" s="98"/>
      <c r="K23" s="98"/>
      <c r="L23" s="98"/>
      <c r="M23" s="98"/>
      <c r="N23" s="98"/>
      <c r="O23" s="98"/>
      <c r="P23" s="155"/>
      <c r="Q23" s="158">
        <v>23</v>
      </c>
    </row>
    <row r="24" spans="1:17" ht="20.100000000000001" customHeight="1" x14ac:dyDescent="0.4">
      <c r="A24" s="107">
        <v>94</v>
      </c>
      <c r="B24" s="108" t="s">
        <v>78</v>
      </c>
      <c r="C24" s="109" t="s">
        <v>79</v>
      </c>
      <c r="D24" s="110" t="s">
        <v>64</v>
      </c>
      <c r="E24" s="111" t="s">
        <v>64</v>
      </c>
      <c r="F24" s="111" t="s">
        <v>64</v>
      </c>
      <c r="G24" s="111" t="s">
        <v>64</v>
      </c>
      <c r="H24" s="111" t="s">
        <v>64</v>
      </c>
      <c r="I24" s="122" t="s">
        <v>64</v>
      </c>
      <c r="J24" s="111"/>
      <c r="K24" s="111"/>
      <c r="L24" s="111"/>
      <c r="M24" s="111"/>
      <c r="N24" s="111"/>
      <c r="O24" s="111"/>
      <c r="P24" s="159"/>
      <c r="Q24" s="160">
        <v>10</v>
      </c>
    </row>
    <row r="25" spans="1:17" ht="20.100000000000001" customHeight="1" x14ac:dyDescent="0.4">
      <c r="A25" s="112">
        <v>79</v>
      </c>
      <c r="B25" s="100" t="s">
        <v>80</v>
      </c>
      <c r="C25" s="101" t="s">
        <v>81</v>
      </c>
      <c r="D25" s="113" t="s">
        <v>102</v>
      </c>
      <c r="E25" s="114" t="s">
        <v>102</v>
      </c>
      <c r="F25" s="114" t="s">
        <v>19</v>
      </c>
      <c r="G25" s="114" t="s">
        <v>19</v>
      </c>
      <c r="H25" s="114" t="s">
        <v>102</v>
      </c>
      <c r="I25" s="123" t="s">
        <v>19</v>
      </c>
      <c r="J25" s="114" t="s">
        <v>19</v>
      </c>
      <c r="K25" s="114" t="s">
        <v>349</v>
      </c>
      <c r="L25" s="114"/>
      <c r="M25" s="114"/>
      <c r="N25" s="114"/>
      <c r="O25" s="114"/>
      <c r="P25" s="157"/>
      <c r="Q25" s="161">
        <v>40</v>
      </c>
    </row>
    <row r="26" spans="1:17" ht="20.100000000000001" customHeight="1" x14ac:dyDescent="0.4">
      <c r="A26" s="105">
        <v>98</v>
      </c>
      <c r="B26" s="89" t="s">
        <v>82</v>
      </c>
      <c r="C26" s="91" t="s">
        <v>83</v>
      </c>
      <c r="D26" s="95" t="s">
        <v>64</v>
      </c>
      <c r="E26" s="96" t="s">
        <v>102</v>
      </c>
      <c r="F26" s="96" t="s">
        <v>64</v>
      </c>
      <c r="G26" s="96" t="s">
        <v>102</v>
      </c>
      <c r="H26" s="96" t="s">
        <v>19</v>
      </c>
      <c r="I26" s="120" t="s">
        <v>19</v>
      </c>
      <c r="J26" s="96"/>
      <c r="K26" s="96" t="s">
        <v>349</v>
      </c>
      <c r="L26" s="96"/>
      <c r="M26" s="96"/>
      <c r="N26" s="96"/>
      <c r="O26" s="96"/>
      <c r="P26" s="154"/>
      <c r="Q26" s="127">
        <v>40</v>
      </c>
    </row>
    <row r="27" spans="1:17" ht="20.100000000000001" customHeight="1" x14ac:dyDescent="0.4">
      <c r="A27" s="105">
        <v>95</v>
      </c>
      <c r="B27" s="89" t="s">
        <v>84</v>
      </c>
      <c r="C27" s="91" t="s">
        <v>85</v>
      </c>
      <c r="D27" s="95" t="s">
        <v>19</v>
      </c>
      <c r="E27" s="96" t="s">
        <v>102</v>
      </c>
      <c r="F27" s="96" t="s">
        <v>64</v>
      </c>
      <c r="G27" s="96" t="s">
        <v>19</v>
      </c>
      <c r="H27" s="96" t="s">
        <v>19</v>
      </c>
      <c r="I27" s="120" t="s">
        <v>19</v>
      </c>
      <c r="J27" s="96"/>
      <c r="K27" s="96"/>
      <c r="L27" s="96"/>
      <c r="M27" s="96"/>
      <c r="N27" s="96"/>
      <c r="O27" s="96"/>
      <c r="P27" s="154"/>
      <c r="Q27" s="127">
        <v>40</v>
      </c>
    </row>
    <row r="28" spans="1:17" ht="20.100000000000001" customHeight="1" x14ac:dyDescent="0.4">
      <c r="A28" s="106">
        <v>30</v>
      </c>
      <c r="B28" s="102" t="s">
        <v>86</v>
      </c>
      <c r="C28" s="103" t="s">
        <v>87</v>
      </c>
      <c r="D28" s="97" t="s">
        <v>19</v>
      </c>
      <c r="E28" s="98" t="s">
        <v>19</v>
      </c>
      <c r="F28" s="98" t="s">
        <v>38</v>
      </c>
      <c r="G28" s="98" t="s">
        <v>102</v>
      </c>
      <c r="H28" s="98" t="s">
        <v>64</v>
      </c>
      <c r="I28" s="121" t="s">
        <v>19</v>
      </c>
      <c r="J28" s="98"/>
      <c r="K28" s="98"/>
      <c r="L28" s="98"/>
      <c r="M28" s="98"/>
      <c r="N28" s="98"/>
      <c r="O28" s="98"/>
      <c r="P28" s="155"/>
      <c r="Q28" s="158">
        <v>40</v>
      </c>
    </row>
    <row r="29" spans="1:17" ht="20.100000000000001" customHeight="1" x14ac:dyDescent="0.4">
      <c r="A29" s="107">
        <v>72</v>
      </c>
      <c r="B29" s="108" t="s">
        <v>88</v>
      </c>
      <c r="C29" s="109" t="s">
        <v>89</v>
      </c>
      <c r="D29" s="110" t="s">
        <v>19</v>
      </c>
      <c r="E29" s="111" t="s">
        <v>19</v>
      </c>
      <c r="F29" s="111" t="s">
        <v>19</v>
      </c>
      <c r="G29" s="111" t="s">
        <v>19</v>
      </c>
      <c r="H29" s="111" t="s">
        <v>19</v>
      </c>
      <c r="I29" s="122" t="s">
        <v>19</v>
      </c>
      <c r="J29" s="111"/>
      <c r="K29" s="111"/>
      <c r="L29" s="111"/>
      <c r="M29" s="111"/>
      <c r="N29" s="111"/>
      <c r="O29" s="111"/>
      <c r="P29" s="159"/>
      <c r="Q29" s="160">
        <v>40</v>
      </c>
    </row>
    <row r="30" spans="1:17" ht="20.100000000000001" customHeight="1" x14ac:dyDescent="0.4">
      <c r="A30" s="112">
        <v>35</v>
      </c>
      <c r="B30" s="100" t="s">
        <v>90</v>
      </c>
      <c r="C30" s="101" t="s">
        <v>91</v>
      </c>
      <c r="D30" s="113" t="s">
        <v>19</v>
      </c>
      <c r="E30" s="114" t="s">
        <v>19</v>
      </c>
      <c r="F30" s="114" t="s">
        <v>19</v>
      </c>
      <c r="G30" s="114" t="s">
        <v>64</v>
      </c>
      <c r="H30" s="114" t="s">
        <v>19</v>
      </c>
      <c r="I30" s="123" t="s">
        <v>19</v>
      </c>
      <c r="J30" s="114"/>
      <c r="K30" s="114"/>
      <c r="L30" s="114"/>
      <c r="M30" s="114"/>
      <c r="N30" s="114"/>
      <c r="O30" s="114"/>
      <c r="P30" s="157"/>
      <c r="Q30" s="161">
        <v>40</v>
      </c>
    </row>
    <row r="31" spans="1:17" ht="20.100000000000001" customHeight="1" x14ac:dyDescent="0.4">
      <c r="A31" s="105">
        <v>58</v>
      </c>
      <c r="B31" s="89" t="s">
        <v>92</v>
      </c>
      <c r="C31" s="91" t="s">
        <v>93</v>
      </c>
      <c r="D31" s="95" t="s">
        <v>19</v>
      </c>
      <c r="E31" s="96" t="s">
        <v>19</v>
      </c>
      <c r="F31" s="96" t="s">
        <v>64</v>
      </c>
      <c r="G31" s="96" t="s">
        <v>19</v>
      </c>
      <c r="H31" s="96" t="s">
        <v>102</v>
      </c>
      <c r="I31" s="120" t="s">
        <v>19</v>
      </c>
      <c r="J31" s="96"/>
      <c r="K31" s="96"/>
      <c r="L31" s="96"/>
      <c r="M31" s="96"/>
      <c r="N31" s="96"/>
      <c r="O31" s="96"/>
      <c r="P31" s="154"/>
      <c r="Q31" s="127">
        <v>35</v>
      </c>
    </row>
    <row r="32" spans="1:17" ht="20.100000000000001" customHeight="1" x14ac:dyDescent="0.4">
      <c r="A32" s="105">
        <v>91</v>
      </c>
      <c r="B32" s="89" t="s">
        <v>94</v>
      </c>
      <c r="C32" s="91" t="s">
        <v>95</v>
      </c>
      <c r="D32" s="95" t="s">
        <v>19</v>
      </c>
      <c r="E32" s="96" t="s">
        <v>19</v>
      </c>
      <c r="F32" s="96" t="s">
        <v>102</v>
      </c>
      <c r="G32" s="96" t="s">
        <v>19</v>
      </c>
      <c r="H32" s="96" t="s">
        <v>64</v>
      </c>
      <c r="I32" s="120" t="s">
        <v>19</v>
      </c>
      <c r="J32" s="96"/>
      <c r="K32" s="96"/>
      <c r="L32" s="96"/>
      <c r="M32" s="96"/>
      <c r="N32" s="96"/>
      <c r="O32" s="96"/>
      <c r="P32" s="154"/>
      <c r="Q32" s="127">
        <v>35</v>
      </c>
    </row>
    <row r="33" spans="1:17" ht="20.100000000000001" customHeight="1" x14ac:dyDescent="0.4">
      <c r="A33" s="106">
        <v>78</v>
      </c>
      <c r="B33" s="102" t="s">
        <v>96</v>
      </c>
      <c r="C33" s="103" t="s">
        <v>97</v>
      </c>
      <c r="D33" s="97" t="s">
        <v>64</v>
      </c>
      <c r="E33" s="98" t="s">
        <v>64</v>
      </c>
      <c r="F33" s="98" t="s">
        <v>19</v>
      </c>
      <c r="G33" s="98" t="s">
        <v>102</v>
      </c>
      <c r="H33" s="98" t="s">
        <v>64</v>
      </c>
      <c r="I33" s="121" t="s">
        <v>19</v>
      </c>
      <c r="J33" s="98"/>
      <c r="K33" s="98"/>
      <c r="L33" s="98"/>
      <c r="M33" s="98"/>
      <c r="N33" s="98"/>
      <c r="O33" s="98"/>
      <c r="P33" s="155"/>
      <c r="Q33" s="158">
        <v>25</v>
      </c>
    </row>
    <row r="34" spans="1:17" ht="20.100000000000001" customHeight="1" x14ac:dyDescent="0.4">
      <c r="A34" s="107">
        <v>87</v>
      </c>
      <c r="B34" s="108" t="s">
        <v>98</v>
      </c>
      <c r="C34" s="109" t="s">
        <v>99</v>
      </c>
      <c r="D34" s="110" t="s">
        <v>19</v>
      </c>
      <c r="E34" s="111" t="s">
        <v>64</v>
      </c>
      <c r="F34" s="111" t="s">
        <v>64</v>
      </c>
      <c r="G34" s="111" t="s">
        <v>19</v>
      </c>
      <c r="H34" s="111" t="s">
        <v>102</v>
      </c>
      <c r="I34" s="122" t="s">
        <v>19</v>
      </c>
      <c r="J34" s="111"/>
      <c r="K34" s="111"/>
      <c r="L34" s="111"/>
      <c r="M34" s="111"/>
      <c r="N34" s="111"/>
      <c r="O34" s="111"/>
      <c r="P34" s="159"/>
      <c r="Q34" s="160">
        <v>20</v>
      </c>
    </row>
    <row r="35" spans="1:17" ht="20.100000000000001" customHeight="1" x14ac:dyDescent="0.4">
      <c r="A35" s="112">
        <v>11</v>
      </c>
      <c r="B35" s="100" t="s">
        <v>100</v>
      </c>
      <c r="C35" s="101" t="s">
        <v>101</v>
      </c>
      <c r="D35" s="113" t="s">
        <v>102</v>
      </c>
      <c r="E35" s="114" t="s">
        <v>102</v>
      </c>
      <c r="F35" s="114" t="s">
        <v>19</v>
      </c>
      <c r="G35" s="114" t="s">
        <v>102</v>
      </c>
      <c r="H35" s="114" t="s">
        <v>64</v>
      </c>
      <c r="I35" s="123" t="s">
        <v>102</v>
      </c>
      <c r="J35" s="114"/>
      <c r="K35" s="114" t="s">
        <v>349</v>
      </c>
      <c r="L35" s="114"/>
      <c r="M35" s="114"/>
      <c r="N35" s="114"/>
      <c r="O35" s="114"/>
      <c r="P35" s="157"/>
      <c r="Q35" s="161">
        <v>40</v>
      </c>
    </row>
    <row r="36" spans="1:17" ht="20.100000000000001" customHeight="1" x14ac:dyDescent="0.4">
      <c r="A36" s="105">
        <v>18</v>
      </c>
      <c r="B36" s="89" t="s">
        <v>103</v>
      </c>
      <c r="C36" s="91" t="s">
        <v>104</v>
      </c>
      <c r="D36" s="95" t="s">
        <v>64</v>
      </c>
      <c r="E36" s="96" t="s">
        <v>64</v>
      </c>
      <c r="F36" s="96" t="s">
        <v>64</v>
      </c>
      <c r="G36" s="96" t="s">
        <v>102</v>
      </c>
      <c r="H36" s="96" t="s">
        <v>64</v>
      </c>
      <c r="I36" s="120" t="s">
        <v>102</v>
      </c>
      <c r="J36" s="96"/>
      <c r="K36" s="96"/>
      <c r="L36" s="96"/>
      <c r="M36" s="96"/>
      <c r="N36" s="96"/>
      <c r="O36" s="96"/>
      <c r="P36" s="154"/>
      <c r="Q36" s="127">
        <v>40</v>
      </c>
    </row>
    <row r="37" spans="1:17" ht="20.100000000000001" customHeight="1" x14ac:dyDescent="0.4">
      <c r="A37" s="105">
        <v>22</v>
      </c>
      <c r="B37" s="89" t="s">
        <v>105</v>
      </c>
      <c r="C37" s="91" t="s">
        <v>106</v>
      </c>
      <c r="D37" s="95" t="s">
        <v>102</v>
      </c>
      <c r="E37" s="96" t="s">
        <v>19</v>
      </c>
      <c r="F37" s="96" t="s">
        <v>102</v>
      </c>
      <c r="G37" s="96" t="s">
        <v>64</v>
      </c>
      <c r="H37" s="96" t="s">
        <v>102</v>
      </c>
      <c r="I37" s="120" t="s">
        <v>102</v>
      </c>
      <c r="J37" s="96"/>
      <c r="K37" s="96"/>
      <c r="L37" s="96"/>
      <c r="M37" s="96"/>
      <c r="N37" s="96"/>
      <c r="O37" s="96"/>
      <c r="P37" s="154"/>
      <c r="Q37" s="127">
        <v>40</v>
      </c>
    </row>
    <row r="38" spans="1:17" ht="20.100000000000001" customHeight="1" x14ac:dyDescent="0.4">
      <c r="A38" s="106">
        <v>24</v>
      </c>
      <c r="B38" s="102" t="s">
        <v>107</v>
      </c>
      <c r="C38" s="103" t="s">
        <v>108</v>
      </c>
      <c r="D38" s="97" t="s">
        <v>64</v>
      </c>
      <c r="E38" s="98" t="s">
        <v>64</v>
      </c>
      <c r="F38" s="98" t="s">
        <v>64</v>
      </c>
      <c r="G38" s="98" t="s">
        <v>19</v>
      </c>
      <c r="H38" s="98" t="s">
        <v>64</v>
      </c>
      <c r="I38" s="121" t="s">
        <v>102</v>
      </c>
      <c r="J38" s="98"/>
      <c r="K38" s="98"/>
      <c r="L38" s="98"/>
      <c r="M38" s="98"/>
      <c r="N38" s="98"/>
      <c r="O38" s="98"/>
      <c r="P38" s="155"/>
      <c r="Q38" s="158">
        <v>40</v>
      </c>
    </row>
    <row r="39" spans="1:17" ht="20.100000000000001" customHeight="1" x14ac:dyDescent="0.4">
      <c r="A39" s="107">
        <v>33</v>
      </c>
      <c r="B39" s="108" t="s">
        <v>109</v>
      </c>
      <c r="C39" s="109" t="s">
        <v>110</v>
      </c>
      <c r="D39" s="110" t="s">
        <v>102</v>
      </c>
      <c r="E39" s="111" t="s">
        <v>102</v>
      </c>
      <c r="F39" s="111" t="s">
        <v>102</v>
      </c>
      <c r="G39" s="111" t="s">
        <v>102</v>
      </c>
      <c r="H39" s="111" t="s">
        <v>102</v>
      </c>
      <c r="I39" s="122" t="s">
        <v>102</v>
      </c>
      <c r="J39" s="111"/>
      <c r="K39" s="111"/>
      <c r="L39" s="111"/>
      <c r="M39" s="111"/>
      <c r="N39" s="111"/>
      <c r="O39" s="111"/>
      <c r="P39" s="159"/>
      <c r="Q39" s="160">
        <v>40</v>
      </c>
    </row>
    <row r="40" spans="1:17" ht="20.100000000000001" customHeight="1" x14ac:dyDescent="0.4">
      <c r="A40" s="112">
        <v>49</v>
      </c>
      <c r="B40" s="100" t="s">
        <v>111</v>
      </c>
      <c r="C40" s="101" t="s">
        <v>112</v>
      </c>
      <c r="D40" s="113" t="s">
        <v>102</v>
      </c>
      <c r="E40" s="114" t="s">
        <v>102</v>
      </c>
      <c r="F40" s="114" t="s">
        <v>64</v>
      </c>
      <c r="G40" s="114" t="s">
        <v>64</v>
      </c>
      <c r="H40" s="114" t="s">
        <v>19</v>
      </c>
      <c r="I40" s="123" t="s">
        <v>102</v>
      </c>
      <c r="J40" s="114"/>
      <c r="K40" s="114"/>
      <c r="L40" s="114"/>
      <c r="M40" s="114"/>
      <c r="N40" s="114"/>
      <c r="O40" s="114"/>
      <c r="P40" s="157"/>
      <c r="Q40" s="161">
        <v>40</v>
      </c>
    </row>
    <row r="41" spans="1:17" ht="20.100000000000001" customHeight="1" x14ac:dyDescent="0.4">
      <c r="A41" s="105">
        <v>65</v>
      </c>
      <c r="B41" s="89" t="s">
        <v>113</v>
      </c>
      <c r="C41" s="91" t="s">
        <v>114</v>
      </c>
      <c r="D41" s="95" t="s">
        <v>19</v>
      </c>
      <c r="E41" s="96" t="s">
        <v>19</v>
      </c>
      <c r="F41" s="96" t="s">
        <v>19</v>
      </c>
      <c r="G41" s="96" t="s">
        <v>64</v>
      </c>
      <c r="H41" s="96" t="s">
        <v>19</v>
      </c>
      <c r="I41" s="120" t="s">
        <v>102</v>
      </c>
      <c r="J41" s="96"/>
      <c r="K41" s="96"/>
      <c r="L41" s="96"/>
      <c r="M41" s="96"/>
      <c r="N41" s="96"/>
      <c r="O41" s="96"/>
      <c r="P41" s="154"/>
      <c r="Q41" s="127">
        <v>30</v>
      </c>
    </row>
    <row r="42" spans="1:17" ht="20.100000000000001" customHeight="1" x14ac:dyDescent="0.4">
      <c r="A42" s="105">
        <v>93</v>
      </c>
      <c r="B42" s="89" t="s">
        <v>115</v>
      </c>
      <c r="C42" s="91" t="s">
        <v>116</v>
      </c>
      <c r="D42" s="95" t="s">
        <v>102</v>
      </c>
      <c r="E42" s="96" t="s">
        <v>102</v>
      </c>
      <c r="F42" s="96" t="s">
        <v>64</v>
      </c>
      <c r="G42" s="96" t="s">
        <v>19</v>
      </c>
      <c r="H42" s="96" t="s">
        <v>64</v>
      </c>
      <c r="I42" s="120" t="s">
        <v>102</v>
      </c>
      <c r="J42" s="96"/>
      <c r="K42" s="96"/>
      <c r="L42" s="96"/>
      <c r="M42" s="96"/>
      <c r="N42" s="96"/>
      <c r="O42" s="96"/>
      <c r="P42" s="154"/>
      <c r="Q42" s="127">
        <v>10</v>
      </c>
    </row>
    <row r="43" spans="1:17" ht="20.100000000000001" customHeight="1" x14ac:dyDescent="0.4">
      <c r="A43" s="106">
        <v>97</v>
      </c>
      <c r="B43" s="102" t="s">
        <v>117</v>
      </c>
      <c r="C43" s="103" t="s">
        <v>118</v>
      </c>
      <c r="D43" s="97" t="s">
        <v>205</v>
      </c>
      <c r="E43" s="98" t="s">
        <v>205</v>
      </c>
      <c r="F43" s="98" t="s">
        <v>61</v>
      </c>
      <c r="G43" s="98" t="s">
        <v>206</v>
      </c>
      <c r="H43" s="98" t="s">
        <v>206</v>
      </c>
      <c r="I43" s="121" t="s">
        <v>119</v>
      </c>
      <c r="J43" s="98"/>
      <c r="K43" s="98" t="s">
        <v>349</v>
      </c>
      <c r="L43" s="98" t="s">
        <v>359</v>
      </c>
      <c r="M43" s="98"/>
      <c r="N43" s="98"/>
      <c r="O43" s="98"/>
      <c r="P43" s="155"/>
      <c r="Q43" s="158">
        <v>40</v>
      </c>
    </row>
    <row r="44" spans="1:17" ht="20.100000000000001" customHeight="1" x14ac:dyDescent="0.4">
      <c r="A44" s="107">
        <v>23</v>
      </c>
      <c r="B44" s="108" t="s">
        <v>120</v>
      </c>
      <c r="C44" s="109" t="s">
        <v>121</v>
      </c>
      <c r="D44" s="110" t="s">
        <v>122</v>
      </c>
      <c r="E44" s="111" t="s">
        <v>122</v>
      </c>
      <c r="F44" s="111" t="s">
        <v>122</v>
      </c>
      <c r="G44" s="111" t="s">
        <v>122</v>
      </c>
      <c r="H44" s="111" t="s">
        <v>122</v>
      </c>
      <c r="I44" s="122" t="s">
        <v>122</v>
      </c>
      <c r="J44" s="111"/>
      <c r="K44" s="111"/>
      <c r="L44" s="111"/>
      <c r="M44" s="111"/>
      <c r="N44" s="111"/>
      <c r="O44" s="111"/>
      <c r="P44" s="159"/>
      <c r="Q44" s="160">
        <v>40</v>
      </c>
    </row>
    <row r="45" spans="1:17" ht="20.100000000000001" customHeight="1" x14ac:dyDescent="0.4">
      <c r="A45" s="112">
        <v>5</v>
      </c>
      <c r="B45" s="100" t="s">
        <v>123</v>
      </c>
      <c r="C45" s="101" t="s">
        <v>124</v>
      </c>
      <c r="D45" s="113" t="s">
        <v>119</v>
      </c>
      <c r="E45" s="114" t="s">
        <v>119</v>
      </c>
      <c r="F45" s="114" t="s">
        <v>119</v>
      </c>
      <c r="G45" s="114" t="s">
        <v>207</v>
      </c>
      <c r="H45" s="114" t="s">
        <v>119</v>
      </c>
      <c r="I45" s="123"/>
      <c r="J45" s="114" t="s">
        <v>119</v>
      </c>
      <c r="K45" s="114" t="s">
        <v>349</v>
      </c>
      <c r="L45" s="114" t="s">
        <v>359</v>
      </c>
      <c r="M45" s="114"/>
      <c r="N45" s="114"/>
      <c r="O45" s="114"/>
      <c r="P45" s="157"/>
      <c r="Q45" s="161">
        <v>40</v>
      </c>
    </row>
    <row r="46" spans="1:17" ht="20.100000000000001" customHeight="1" x14ac:dyDescent="0.4">
      <c r="A46" s="105">
        <v>7</v>
      </c>
      <c r="B46" s="89" t="s">
        <v>126</v>
      </c>
      <c r="C46" s="91" t="s">
        <v>127</v>
      </c>
      <c r="D46" s="95" t="s">
        <v>207</v>
      </c>
      <c r="E46" s="96" t="s">
        <v>207</v>
      </c>
      <c r="F46" s="96" t="s">
        <v>207</v>
      </c>
      <c r="G46" s="96" t="s">
        <v>207</v>
      </c>
      <c r="H46" s="96" t="s">
        <v>207</v>
      </c>
      <c r="I46" s="120"/>
      <c r="J46" s="96"/>
      <c r="K46" s="96" t="s">
        <v>349</v>
      </c>
      <c r="L46" s="96" t="s">
        <v>359</v>
      </c>
      <c r="M46" s="96"/>
      <c r="N46" s="96"/>
      <c r="O46" s="96"/>
      <c r="P46" s="154"/>
      <c r="Q46" s="127">
        <v>40</v>
      </c>
    </row>
    <row r="47" spans="1:17" ht="20.100000000000001" customHeight="1" x14ac:dyDescent="0.4">
      <c r="A47" s="105">
        <v>9</v>
      </c>
      <c r="B47" s="89" t="s">
        <v>128</v>
      </c>
      <c r="C47" s="91" t="s">
        <v>129</v>
      </c>
      <c r="D47" s="95" t="s">
        <v>122</v>
      </c>
      <c r="E47" s="96" t="s">
        <v>122</v>
      </c>
      <c r="F47" s="96" t="s">
        <v>122</v>
      </c>
      <c r="G47" s="96" t="s">
        <v>122</v>
      </c>
      <c r="H47" s="96" t="s">
        <v>122</v>
      </c>
      <c r="I47" s="120"/>
      <c r="J47" s="96"/>
      <c r="K47" s="96" t="s">
        <v>122</v>
      </c>
      <c r="L47" s="96"/>
      <c r="M47" s="96"/>
      <c r="N47" s="96"/>
      <c r="O47" s="96"/>
      <c r="P47" s="154"/>
      <c r="Q47" s="127">
        <v>40</v>
      </c>
    </row>
    <row r="48" spans="1:17" ht="20.100000000000001" customHeight="1" x14ac:dyDescent="0.4">
      <c r="A48" s="106">
        <v>10</v>
      </c>
      <c r="B48" s="102" t="s">
        <v>130</v>
      </c>
      <c r="C48" s="103" t="s">
        <v>131</v>
      </c>
      <c r="D48" s="97" t="s">
        <v>206</v>
      </c>
      <c r="E48" s="98" t="s">
        <v>206</v>
      </c>
      <c r="F48" s="98" t="s">
        <v>38</v>
      </c>
      <c r="G48" s="98" t="s">
        <v>206</v>
      </c>
      <c r="H48" s="98" t="s">
        <v>206</v>
      </c>
      <c r="I48" s="121"/>
      <c r="J48" s="98"/>
      <c r="K48" s="98" t="s">
        <v>349</v>
      </c>
      <c r="L48" s="98"/>
      <c r="M48" s="98"/>
      <c r="N48" s="98"/>
      <c r="O48" s="98"/>
      <c r="P48" s="155"/>
      <c r="Q48" s="158">
        <v>40</v>
      </c>
    </row>
    <row r="49" spans="1:17" ht="20.100000000000001" customHeight="1" x14ac:dyDescent="0.4">
      <c r="A49" s="107">
        <v>12</v>
      </c>
      <c r="B49" s="108" t="s">
        <v>132</v>
      </c>
      <c r="C49" s="109" t="s">
        <v>133</v>
      </c>
      <c r="D49" s="110" t="s">
        <v>208</v>
      </c>
      <c r="E49" s="111" t="s">
        <v>208</v>
      </c>
      <c r="F49" s="111" t="s">
        <v>208</v>
      </c>
      <c r="G49" s="111" t="s">
        <v>208</v>
      </c>
      <c r="H49" s="111" t="s">
        <v>208</v>
      </c>
      <c r="I49" s="122"/>
      <c r="J49" s="111"/>
      <c r="K49" s="111" t="s">
        <v>349</v>
      </c>
      <c r="L49" s="111"/>
      <c r="M49" s="111"/>
      <c r="N49" s="111"/>
      <c r="O49" s="111"/>
      <c r="P49" s="159"/>
      <c r="Q49" s="160">
        <v>40</v>
      </c>
    </row>
    <row r="50" spans="1:17" ht="20.100000000000001" customHeight="1" x14ac:dyDescent="0.4">
      <c r="A50" s="112">
        <v>13</v>
      </c>
      <c r="B50" s="100" t="s">
        <v>134</v>
      </c>
      <c r="C50" s="101" t="s">
        <v>135</v>
      </c>
      <c r="D50" s="113" t="s">
        <v>208</v>
      </c>
      <c r="E50" s="114" t="s">
        <v>208</v>
      </c>
      <c r="F50" s="114" t="s">
        <v>208</v>
      </c>
      <c r="G50" s="114" t="s">
        <v>208</v>
      </c>
      <c r="H50" s="114" t="s">
        <v>208</v>
      </c>
      <c r="I50" s="123"/>
      <c r="J50" s="114"/>
      <c r="K50" s="114" t="s">
        <v>349</v>
      </c>
      <c r="L50" s="114"/>
      <c r="M50" s="114"/>
      <c r="N50" s="114"/>
      <c r="O50" s="114"/>
      <c r="P50" s="157"/>
      <c r="Q50" s="161">
        <v>40</v>
      </c>
    </row>
    <row r="51" spans="1:17" ht="20.100000000000001" customHeight="1" x14ac:dyDescent="0.4">
      <c r="A51" s="105">
        <v>14</v>
      </c>
      <c r="B51" s="89" t="s">
        <v>136</v>
      </c>
      <c r="C51" s="91" t="s">
        <v>137</v>
      </c>
      <c r="D51" s="95" t="s">
        <v>61</v>
      </c>
      <c r="E51" s="96" t="s">
        <v>61</v>
      </c>
      <c r="F51" s="96" t="s">
        <v>38</v>
      </c>
      <c r="G51" s="96" t="s">
        <v>61</v>
      </c>
      <c r="H51" s="96" t="s">
        <v>61</v>
      </c>
      <c r="I51" s="120"/>
      <c r="J51" s="96"/>
      <c r="K51" s="96" t="s">
        <v>349</v>
      </c>
      <c r="L51" s="96"/>
      <c r="M51" s="96"/>
      <c r="N51" s="96"/>
      <c r="O51" s="96"/>
      <c r="P51" s="154"/>
      <c r="Q51" s="127">
        <v>40</v>
      </c>
    </row>
    <row r="52" spans="1:17" ht="20.100000000000001" customHeight="1" x14ac:dyDescent="0.4">
      <c r="A52" s="105">
        <v>16</v>
      </c>
      <c r="B52" s="89" t="s">
        <v>138</v>
      </c>
      <c r="C52" s="91" t="s">
        <v>139</v>
      </c>
      <c r="D52" s="95" t="s">
        <v>122</v>
      </c>
      <c r="E52" s="96" t="s">
        <v>122</v>
      </c>
      <c r="F52" s="96" t="s">
        <v>122</v>
      </c>
      <c r="G52" s="96" t="s">
        <v>122</v>
      </c>
      <c r="H52" s="96" t="s">
        <v>122</v>
      </c>
      <c r="I52" s="120"/>
      <c r="J52" s="96"/>
      <c r="K52" s="96"/>
      <c r="L52" s="96"/>
      <c r="M52" s="96"/>
      <c r="N52" s="96"/>
      <c r="O52" s="96"/>
      <c r="P52" s="154"/>
      <c r="Q52" s="127">
        <v>40</v>
      </c>
    </row>
    <row r="53" spans="1:17" ht="20.100000000000001" customHeight="1" x14ac:dyDescent="0.4">
      <c r="A53" s="106">
        <v>17</v>
      </c>
      <c r="B53" s="102" t="s">
        <v>140</v>
      </c>
      <c r="C53" s="103" t="s">
        <v>141</v>
      </c>
      <c r="D53" s="97" t="s">
        <v>205</v>
      </c>
      <c r="E53" s="98" t="s">
        <v>205</v>
      </c>
      <c r="F53" s="98" t="s">
        <v>205</v>
      </c>
      <c r="G53" s="98" t="s">
        <v>205</v>
      </c>
      <c r="H53" s="98" t="s">
        <v>205</v>
      </c>
      <c r="I53" s="121"/>
      <c r="J53" s="98"/>
      <c r="K53" s="98"/>
      <c r="L53" s="98"/>
      <c r="M53" s="98"/>
      <c r="N53" s="98"/>
      <c r="O53" s="98"/>
      <c r="P53" s="155"/>
      <c r="Q53" s="158">
        <v>40</v>
      </c>
    </row>
    <row r="54" spans="1:17" ht="20.100000000000001" customHeight="1" x14ac:dyDescent="0.4">
      <c r="A54" s="107">
        <v>89</v>
      </c>
      <c r="B54" s="108" t="s">
        <v>142</v>
      </c>
      <c r="C54" s="109" t="s">
        <v>143</v>
      </c>
      <c r="D54" s="110" t="s">
        <v>206</v>
      </c>
      <c r="E54" s="111" t="s">
        <v>206</v>
      </c>
      <c r="F54" s="111" t="s">
        <v>206</v>
      </c>
      <c r="G54" s="111" t="s">
        <v>206</v>
      </c>
      <c r="H54" s="111" t="s">
        <v>206</v>
      </c>
      <c r="I54" s="122"/>
      <c r="J54" s="111"/>
      <c r="K54" s="111"/>
      <c r="L54" s="111"/>
      <c r="M54" s="111"/>
      <c r="N54" s="111"/>
      <c r="O54" s="111"/>
      <c r="P54" s="159"/>
      <c r="Q54" s="160">
        <v>40</v>
      </c>
    </row>
    <row r="55" spans="1:17" ht="20.100000000000001" customHeight="1" x14ac:dyDescent="0.4">
      <c r="A55" s="112">
        <v>26</v>
      </c>
      <c r="B55" s="100" t="s">
        <v>144</v>
      </c>
      <c r="C55" s="101" t="s">
        <v>145</v>
      </c>
      <c r="D55" s="113" t="s">
        <v>207</v>
      </c>
      <c r="E55" s="114" t="s">
        <v>207</v>
      </c>
      <c r="F55" s="114" t="s">
        <v>38</v>
      </c>
      <c r="G55" s="114" t="s">
        <v>207</v>
      </c>
      <c r="H55" s="114" t="s">
        <v>207</v>
      </c>
      <c r="I55" s="123"/>
      <c r="J55" s="114"/>
      <c r="K55" s="114"/>
      <c r="L55" s="114"/>
      <c r="M55" s="114"/>
      <c r="N55" s="114"/>
      <c r="O55" s="114"/>
      <c r="P55" s="157"/>
      <c r="Q55" s="161">
        <v>40</v>
      </c>
    </row>
    <row r="56" spans="1:17" ht="20.100000000000001" customHeight="1" x14ac:dyDescent="0.4">
      <c r="A56" s="105">
        <v>27</v>
      </c>
      <c r="B56" s="89" t="s">
        <v>146</v>
      </c>
      <c r="C56" s="91" t="s">
        <v>147</v>
      </c>
      <c r="D56" s="95" t="s">
        <v>206</v>
      </c>
      <c r="E56" s="96" t="s">
        <v>206</v>
      </c>
      <c r="F56" s="96" t="s">
        <v>206</v>
      </c>
      <c r="G56" s="96" t="s">
        <v>206</v>
      </c>
      <c r="H56" s="96" t="s">
        <v>206</v>
      </c>
      <c r="I56" s="120"/>
      <c r="J56" s="96"/>
      <c r="K56" s="96"/>
      <c r="L56" s="96"/>
      <c r="M56" s="96"/>
      <c r="N56" s="96"/>
      <c r="O56" s="96"/>
      <c r="P56" s="154"/>
      <c r="Q56" s="127">
        <v>40</v>
      </c>
    </row>
    <row r="57" spans="1:17" ht="20.100000000000001" customHeight="1" x14ac:dyDescent="0.4">
      <c r="A57" s="105">
        <v>96</v>
      </c>
      <c r="B57" s="89" t="s">
        <v>148</v>
      </c>
      <c r="C57" s="91" t="s">
        <v>149</v>
      </c>
      <c r="D57" s="95" t="s">
        <v>208</v>
      </c>
      <c r="E57" s="96" t="s">
        <v>208</v>
      </c>
      <c r="F57" s="96" t="s">
        <v>350</v>
      </c>
      <c r="G57" s="96" t="s">
        <v>208</v>
      </c>
      <c r="H57" s="96" t="s">
        <v>208</v>
      </c>
      <c r="I57" s="120"/>
      <c r="J57" s="96"/>
      <c r="K57" s="96"/>
      <c r="L57" s="96"/>
      <c r="M57" s="96"/>
      <c r="N57" s="96"/>
      <c r="O57" s="96"/>
      <c r="P57" s="154"/>
      <c r="Q57" s="127">
        <v>40</v>
      </c>
    </row>
    <row r="58" spans="1:17" ht="20.100000000000001" customHeight="1" x14ac:dyDescent="0.4">
      <c r="A58" s="106">
        <v>34</v>
      </c>
      <c r="B58" s="102" t="s">
        <v>150</v>
      </c>
      <c r="C58" s="103" t="s">
        <v>151</v>
      </c>
      <c r="D58" s="97" t="s">
        <v>61</v>
      </c>
      <c r="E58" s="98" t="s">
        <v>61</v>
      </c>
      <c r="F58" s="98" t="s">
        <v>38</v>
      </c>
      <c r="G58" s="98" t="s">
        <v>61</v>
      </c>
      <c r="H58" s="98" t="s">
        <v>61</v>
      </c>
      <c r="I58" s="121"/>
      <c r="J58" s="98"/>
      <c r="K58" s="98"/>
      <c r="L58" s="98"/>
      <c r="M58" s="98"/>
      <c r="N58" s="98"/>
      <c r="O58" s="98"/>
      <c r="P58" s="155"/>
      <c r="Q58" s="158">
        <v>40</v>
      </c>
    </row>
    <row r="59" spans="1:17" ht="20.100000000000001" customHeight="1" x14ac:dyDescent="0.4">
      <c r="A59" s="107">
        <v>37</v>
      </c>
      <c r="B59" s="108" t="s">
        <v>152</v>
      </c>
      <c r="C59" s="109" t="s">
        <v>153</v>
      </c>
      <c r="D59" s="110" t="s">
        <v>207</v>
      </c>
      <c r="E59" s="111" t="s">
        <v>207</v>
      </c>
      <c r="F59" s="111" t="s">
        <v>351</v>
      </c>
      <c r="G59" s="111" t="s">
        <v>207</v>
      </c>
      <c r="H59" s="111" t="s">
        <v>207</v>
      </c>
      <c r="I59" s="122"/>
      <c r="J59" s="111"/>
      <c r="K59" s="111"/>
      <c r="L59" s="111"/>
      <c r="M59" s="111"/>
      <c r="N59" s="111"/>
      <c r="O59" s="111"/>
      <c r="P59" s="159"/>
      <c r="Q59" s="160">
        <v>40</v>
      </c>
    </row>
    <row r="60" spans="1:17" ht="20.100000000000001" customHeight="1" x14ac:dyDescent="0.4">
      <c r="A60" s="112">
        <v>38</v>
      </c>
      <c r="B60" s="100" t="s">
        <v>154</v>
      </c>
      <c r="C60" s="101" t="s">
        <v>155</v>
      </c>
      <c r="D60" s="113" t="s">
        <v>206</v>
      </c>
      <c r="E60" s="114" t="s">
        <v>206</v>
      </c>
      <c r="F60" s="114" t="s">
        <v>206</v>
      </c>
      <c r="G60" s="114" t="s">
        <v>206</v>
      </c>
      <c r="H60" s="114" t="s">
        <v>206</v>
      </c>
      <c r="I60" s="123"/>
      <c r="J60" s="114"/>
      <c r="K60" s="114"/>
      <c r="L60" s="114"/>
      <c r="M60" s="114"/>
      <c r="N60" s="114"/>
      <c r="O60" s="114"/>
      <c r="P60" s="157"/>
      <c r="Q60" s="161">
        <v>40</v>
      </c>
    </row>
    <row r="61" spans="1:17" ht="20.100000000000001" customHeight="1" x14ac:dyDescent="0.4">
      <c r="A61" s="105">
        <v>39</v>
      </c>
      <c r="B61" s="89" t="s">
        <v>156</v>
      </c>
      <c r="C61" s="91" t="s">
        <v>157</v>
      </c>
      <c r="D61" s="95" t="s">
        <v>61</v>
      </c>
      <c r="E61" s="96" t="s">
        <v>61</v>
      </c>
      <c r="F61" s="96" t="s">
        <v>38</v>
      </c>
      <c r="G61" s="96" t="s">
        <v>61</v>
      </c>
      <c r="H61" s="96" t="s">
        <v>61</v>
      </c>
      <c r="I61" s="120"/>
      <c r="J61" s="96"/>
      <c r="K61" s="96"/>
      <c r="L61" s="96"/>
      <c r="M61" s="96"/>
      <c r="N61" s="96"/>
      <c r="O61" s="96"/>
      <c r="P61" s="154"/>
      <c r="Q61" s="127">
        <v>40</v>
      </c>
    </row>
    <row r="62" spans="1:17" ht="20.100000000000001" customHeight="1" x14ac:dyDescent="0.4">
      <c r="A62" s="105">
        <v>40</v>
      </c>
      <c r="B62" s="89" t="s">
        <v>158</v>
      </c>
      <c r="C62" s="91" t="s">
        <v>159</v>
      </c>
      <c r="D62" s="95" t="s">
        <v>208</v>
      </c>
      <c r="E62" s="96" t="s">
        <v>208</v>
      </c>
      <c r="F62" s="96" t="s">
        <v>208</v>
      </c>
      <c r="G62" s="96" t="s">
        <v>208</v>
      </c>
      <c r="H62" s="96" t="s">
        <v>208</v>
      </c>
      <c r="I62" s="120"/>
      <c r="J62" s="96"/>
      <c r="K62" s="96"/>
      <c r="L62" s="96"/>
      <c r="M62" s="96"/>
      <c r="N62" s="96"/>
      <c r="O62" s="96"/>
      <c r="P62" s="154"/>
      <c r="Q62" s="127">
        <v>40</v>
      </c>
    </row>
    <row r="63" spans="1:17" ht="20.100000000000001" customHeight="1" x14ac:dyDescent="0.4">
      <c r="A63" s="106">
        <v>42</v>
      </c>
      <c r="B63" s="102" t="s">
        <v>160</v>
      </c>
      <c r="C63" s="103" t="s">
        <v>161</v>
      </c>
      <c r="D63" s="97" t="s">
        <v>208</v>
      </c>
      <c r="E63" s="98" t="s">
        <v>208</v>
      </c>
      <c r="F63" s="98" t="s">
        <v>38</v>
      </c>
      <c r="G63" s="98" t="s">
        <v>208</v>
      </c>
      <c r="H63" s="98" t="s">
        <v>208</v>
      </c>
      <c r="I63" s="121"/>
      <c r="J63" s="98"/>
      <c r="K63" s="98"/>
      <c r="L63" s="98"/>
      <c r="M63" s="98"/>
      <c r="N63" s="98"/>
      <c r="O63" s="98"/>
      <c r="P63" s="155"/>
      <c r="Q63" s="158">
        <v>40</v>
      </c>
    </row>
    <row r="64" spans="1:17" ht="20.100000000000001" customHeight="1" x14ac:dyDescent="0.4">
      <c r="A64" s="107">
        <v>44</v>
      </c>
      <c r="B64" s="108" t="s">
        <v>162</v>
      </c>
      <c r="C64" s="109" t="s">
        <v>163</v>
      </c>
      <c r="D64" s="110" t="s">
        <v>207</v>
      </c>
      <c r="E64" s="111" t="s">
        <v>207</v>
      </c>
      <c r="F64" s="111" t="s">
        <v>207</v>
      </c>
      <c r="G64" s="111" t="s">
        <v>207</v>
      </c>
      <c r="H64" s="111" t="s">
        <v>207</v>
      </c>
      <c r="I64" s="122"/>
      <c r="J64" s="111"/>
      <c r="K64" s="111"/>
      <c r="L64" s="111"/>
      <c r="M64" s="111"/>
      <c r="N64" s="111"/>
      <c r="O64" s="111"/>
      <c r="P64" s="159"/>
      <c r="Q64" s="160">
        <v>40</v>
      </c>
    </row>
    <row r="65" spans="1:17" ht="20.100000000000001" customHeight="1" x14ac:dyDescent="0.4">
      <c r="A65" s="112">
        <v>45</v>
      </c>
      <c r="B65" s="100" t="s">
        <v>164</v>
      </c>
      <c r="C65" s="101" t="s">
        <v>165</v>
      </c>
      <c r="D65" s="113" t="s">
        <v>205</v>
      </c>
      <c r="E65" s="114" t="s">
        <v>205</v>
      </c>
      <c r="F65" s="114" t="s">
        <v>205</v>
      </c>
      <c r="G65" s="114" t="s">
        <v>205</v>
      </c>
      <c r="H65" s="114" t="s">
        <v>205</v>
      </c>
      <c r="I65" s="123"/>
      <c r="J65" s="114"/>
      <c r="K65" s="114"/>
      <c r="L65" s="114"/>
      <c r="M65" s="114"/>
      <c r="N65" s="114"/>
      <c r="O65" s="114"/>
      <c r="P65" s="157"/>
      <c r="Q65" s="161">
        <v>40</v>
      </c>
    </row>
    <row r="66" spans="1:17" ht="20.100000000000001" customHeight="1" x14ac:dyDescent="0.4">
      <c r="A66" s="105">
        <v>46</v>
      </c>
      <c r="B66" s="89" t="s">
        <v>166</v>
      </c>
      <c r="C66" s="91" t="s">
        <v>167</v>
      </c>
      <c r="D66" s="95" t="s">
        <v>205</v>
      </c>
      <c r="E66" s="96" t="s">
        <v>205</v>
      </c>
      <c r="F66" s="96" t="s">
        <v>205</v>
      </c>
      <c r="G66" s="96" t="s">
        <v>205</v>
      </c>
      <c r="H66" s="96" t="s">
        <v>205</v>
      </c>
      <c r="I66" s="120"/>
      <c r="J66" s="96"/>
      <c r="K66" s="96"/>
      <c r="L66" s="96"/>
      <c r="M66" s="96"/>
      <c r="N66" s="96"/>
      <c r="O66" s="96"/>
      <c r="P66" s="154"/>
      <c r="Q66" s="127">
        <v>40</v>
      </c>
    </row>
    <row r="67" spans="1:17" ht="20.100000000000001" customHeight="1" x14ac:dyDescent="0.4">
      <c r="A67" s="105">
        <v>50</v>
      </c>
      <c r="B67" s="89" t="s">
        <v>168</v>
      </c>
      <c r="C67" s="91" t="s">
        <v>169</v>
      </c>
      <c r="D67" s="95" t="s">
        <v>61</v>
      </c>
      <c r="E67" s="96" t="s">
        <v>61</v>
      </c>
      <c r="F67" s="96" t="s">
        <v>61</v>
      </c>
      <c r="G67" s="96" t="s">
        <v>61</v>
      </c>
      <c r="H67" s="96" t="s">
        <v>61</v>
      </c>
      <c r="I67" s="120"/>
      <c r="J67" s="96"/>
      <c r="K67" s="96"/>
      <c r="L67" s="96"/>
      <c r="M67" s="96"/>
      <c r="N67" s="96"/>
      <c r="O67" s="96"/>
      <c r="P67" s="154"/>
      <c r="Q67" s="127">
        <v>40</v>
      </c>
    </row>
    <row r="68" spans="1:17" ht="20.100000000000001" customHeight="1" x14ac:dyDescent="0.4">
      <c r="A68" s="106">
        <v>53</v>
      </c>
      <c r="B68" s="102" t="s">
        <v>170</v>
      </c>
      <c r="C68" s="103" t="s">
        <v>171</v>
      </c>
      <c r="D68" s="97" t="s">
        <v>61</v>
      </c>
      <c r="E68" s="98" t="s">
        <v>61</v>
      </c>
      <c r="F68" s="98" t="s">
        <v>61</v>
      </c>
      <c r="G68" s="98" t="s">
        <v>61</v>
      </c>
      <c r="H68" s="98" t="s">
        <v>61</v>
      </c>
      <c r="I68" s="121"/>
      <c r="J68" s="98"/>
      <c r="K68" s="98"/>
      <c r="L68" s="98"/>
      <c r="M68" s="98"/>
      <c r="N68" s="98"/>
      <c r="O68" s="98"/>
      <c r="P68" s="155"/>
      <c r="Q68" s="158">
        <v>40</v>
      </c>
    </row>
    <row r="69" spans="1:17" ht="20.100000000000001" customHeight="1" x14ac:dyDescent="0.4">
      <c r="A69" s="107">
        <v>73</v>
      </c>
      <c r="B69" s="108" t="s">
        <v>172</v>
      </c>
      <c r="C69" s="109" t="s">
        <v>173</v>
      </c>
      <c r="D69" s="110" t="s">
        <v>208</v>
      </c>
      <c r="E69" s="111" t="s">
        <v>208</v>
      </c>
      <c r="F69" s="111" t="s">
        <v>208</v>
      </c>
      <c r="G69" s="111" t="s">
        <v>208</v>
      </c>
      <c r="H69" s="111" t="s">
        <v>208</v>
      </c>
      <c r="I69" s="122"/>
      <c r="J69" s="111"/>
      <c r="K69" s="111"/>
      <c r="L69" s="111"/>
      <c r="M69" s="111"/>
      <c r="N69" s="111"/>
      <c r="O69" s="111"/>
      <c r="P69" s="159"/>
      <c r="Q69" s="160">
        <v>40</v>
      </c>
    </row>
    <row r="70" spans="1:17" ht="20.100000000000001" customHeight="1" x14ac:dyDescent="0.4">
      <c r="A70" s="112">
        <v>60</v>
      </c>
      <c r="B70" s="100" t="s">
        <v>174</v>
      </c>
      <c r="C70" s="101" t="s">
        <v>175</v>
      </c>
      <c r="D70" s="113" t="s">
        <v>61</v>
      </c>
      <c r="E70" s="114" t="s">
        <v>61</v>
      </c>
      <c r="F70" s="114" t="s">
        <v>61</v>
      </c>
      <c r="G70" s="114" t="s">
        <v>61</v>
      </c>
      <c r="H70" s="114" t="s">
        <v>61</v>
      </c>
      <c r="I70" s="123"/>
      <c r="J70" s="114"/>
      <c r="K70" s="114"/>
      <c r="L70" s="114"/>
      <c r="M70" s="114"/>
      <c r="N70" s="114"/>
      <c r="O70" s="114"/>
      <c r="P70" s="157"/>
      <c r="Q70" s="161">
        <v>35</v>
      </c>
    </row>
    <row r="71" spans="1:17" ht="20.100000000000001" customHeight="1" x14ac:dyDescent="0.4">
      <c r="A71" s="105">
        <v>64</v>
      </c>
      <c r="B71" s="89" t="s">
        <v>176</v>
      </c>
      <c r="C71" s="91" t="s">
        <v>177</v>
      </c>
      <c r="D71" s="95" t="s">
        <v>61</v>
      </c>
      <c r="E71" s="96" t="s">
        <v>61</v>
      </c>
      <c r="F71" s="96" t="s">
        <v>61</v>
      </c>
      <c r="G71" s="96" t="s">
        <v>61</v>
      </c>
      <c r="H71" s="96" t="s">
        <v>61</v>
      </c>
      <c r="I71" s="120"/>
      <c r="J71" s="96"/>
      <c r="K71" s="96"/>
      <c r="L71" s="96" t="s">
        <v>61</v>
      </c>
      <c r="M71" s="96"/>
      <c r="N71" s="96"/>
      <c r="O71" s="96"/>
      <c r="P71" s="154"/>
      <c r="Q71" s="127">
        <v>30</v>
      </c>
    </row>
    <row r="72" spans="1:17" ht="20.100000000000001" customHeight="1" x14ac:dyDescent="0.4">
      <c r="A72" s="105">
        <v>67</v>
      </c>
      <c r="B72" s="89" t="s">
        <v>178</v>
      </c>
      <c r="C72" s="91" t="s">
        <v>179</v>
      </c>
      <c r="D72" s="95" t="s">
        <v>206</v>
      </c>
      <c r="E72" s="96" t="s">
        <v>206</v>
      </c>
      <c r="F72" s="96" t="s">
        <v>206</v>
      </c>
      <c r="G72" s="96" t="s">
        <v>205</v>
      </c>
      <c r="H72" s="96" t="s">
        <v>205</v>
      </c>
      <c r="I72" s="120"/>
      <c r="J72" s="96"/>
      <c r="K72" s="96"/>
      <c r="L72" s="96"/>
      <c r="M72" s="96"/>
      <c r="N72" s="96"/>
      <c r="O72" s="96"/>
      <c r="P72" s="154"/>
      <c r="Q72" s="127">
        <v>3</v>
      </c>
    </row>
    <row r="73" spans="1:17" ht="20.100000000000001" customHeight="1" x14ac:dyDescent="0.4">
      <c r="A73" s="106">
        <v>68</v>
      </c>
      <c r="B73" s="102" t="s">
        <v>180</v>
      </c>
      <c r="C73" s="103" t="s">
        <v>181</v>
      </c>
      <c r="D73" s="97" t="s">
        <v>61</v>
      </c>
      <c r="E73" s="98" t="s">
        <v>61</v>
      </c>
      <c r="F73" s="98" t="s">
        <v>61</v>
      </c>
      <c r="G73" s="98" t="s">
        <v>61</v>
      </c>
      <c r="H73" s="98" t="s">
        <v>61</v>
      </c>
      <c r="I73" s="121"/>
      <c r="J73" s="98"/>
      <c r="K73" s="98"/>
      <c r="L73" s="98"/>
      <c r="M73" s="98"/>
      <c r="N73" s="98"/>
      <c r="O73" s="98"/>
      <c r="P73" s="155"/>
      <c r="Q73" s="158">
        <v>30</v>
      </c>
    </row>
    <row r="74" spans="1:17" ht="20.100000000000001" customHeight="1" x14ac:dyDescent="0.4">
      <c r="A74" s="107">
        <v>75</v>
      </c>
      <c r="B74" s="108" t="s">
        <v>182</v>
      </c>
      <c r="C74" s="109" t="s">
        <v>183</v>
      </c>
      <c r="D74" s="110" t="s">
        <v>61</v>
      </c>
      <c r="E74" s="111" t="s">
        <v>61</v>
      </c>
      <c r="F74" s="111" t="s">
        <v>61</v>
      </c>
      <c r="G74" s="111" t="s">
        <v>61</v>
      </c>
      <c r="H74" s="111" t="s">
        <v>61</v>
      </c>
      <c r="I74" s="122"/>
      <c r="J74" s="111"/>
      <c r="K74" s="111"/>
      <c r="L74" s="111"/>
      <c r="M74" s="111"/>
      <c r="N74" s="111"/>
      <c r="O74" s="111"/>
      <c r="P74" s="159"/>
      <c r="Q74" s="160">
        <v>25</v>
      </c>
    </row>
    <row r="75" spans="1:17" ht="20.100000000000001" customHeight="1" x14ac:dyDescent="0.4">
      <c r="A75" s="112">
        <v>76</v>
      </c>
      <c r="B75" s="100" t="s">
        <v>184</v>
      </c>
      <c r="C75" s="101" t="s">
        <v>185</v>
      </c>
      <c r="D75" s="113" t="s">
        <v>61</v>
      </c>
      <c r="E75" s="114" t="s">
        <v>61</v>
      </c>
      <c r="F75" s="114" t="s">
        <v>61</v>
      </c>
      <c r="G75" s="114" t="s">
        <v>61</v>
      </c>
      <c r="H75" s="114" t="s">
        <v>61</v>
      </c>
      <c r="I75" s="123"/>
      <c r="J75" s="114"/>
      <c r="K75" s="114"/>
      <c r="L75" s="114"/>
      <c r="M75" s="114"/>
      <c r="N75" s="114"/>
      <c r="O75" s="114"/>
      <c r="P75" s="157"/>
      <c r="Q75" s="161">
        <v>25</v>
      </c>
    </row>
    <row r="76" spans="1:17" ht="20.100000000000001" customHeight="1" x14ac:dyDescent="0.4">
      <c r="A76" s="105">
        <v>77</v>
      </c>
      <c r="B76" s="89" t="s">
        <v>186</v>
      </c>
      <c r="C76" s="91" t="s">
        <v>187</v>
      </c>
      <c r="D76" s="95" t="s">
        <v>207</v>
      </c>
      <c r="E76" s="96" t="s">
        <v>207</v>
      </c>
      <c r="F76" s="96" t="s">
        <v>207</v>
      </c>
      <c r="G76" s="96" t="s">
        <v>207</v>
      </c>
      <c r="H76" s="96" t="s">
        <v>207</v>
      </c>
      <c r="I76" s="120"/>
      <c r="J76" s="96"/>
      <c r="K76" s="96"/>
      <c r="L76" s="96"/>
      <c r="M76" s="96"/>
      <c r="N76" s="96"/>
      <c r="O76" s="96"/>
      <c r="P76" s="154"/>
      <c r="Q76" s="127">
        <v>25</v>
      </c>
    </row>
    <row r="77" spans="1:17" ht="20.100000000000001" customHeight="1" x14ac:dyDescent="0.4">
      <c r="A77" s="105">
        <v>81</v>
      </c>
      <c r="B77" s="89" t="s">
        <v>188</v>
      </c>
      <c r="C77" s="91" t="s">
        <v>189</v>
      </c>
      <c r="D77" s="95" t="s">
        <v>207</v>
      </c>
      <c r="E77" s="96" t="s">
        <v>207</v>
      </c>
      <c r="F77" s="96" t="s">
        <v>207</v>
      </c>
      <c r="G77" s="96" t="s">
        <v>207</v>
      </c>
      <c r="H77" s="96" t="s">
        <v>207</v>
      </c>
      <c r="I77" s="120"/>
      <c r="J77" s="96"/>
      <c r="K77" s="96"/>
      <c r="L77" s="96"/>
      <c r="M77" s="96"/>
      <c r="N77" s="96"/>
      <c r="O77" s="96"/>
      <c r="P77" s="154"/>
      <c r="Q77" s="127">
        <v>23</v>
      </c>
    </row>
    <row r="78" spans="1:17" ht="20.100000000000001" customHeight="1" x14ac:dyDescent="0.4">
      <c r="A78" s="106">
        <v>84</v>
      </c>
      <c r="B78" s="102" t="s">
        <v>190</v>
      </c>
      <c r="C78" s="103" t="s">
        <v>191</v>
      </c>
      <c r="D78" s="97" t="s">
        <v>207</v>
      </c>
      <c r="E78" s="98" t="s">
        <v>207</v>
      </c>
      <c r="F78" s="98" t="s">
        <v>207</v>
      </c>
      <c r="G78" s="98" t="s">
        <v>119</v>
      </c>
      <c r="H78" s="98" t="s">
        <v>207</v>
      </c>
      <c r="I78" s="121"/>
      <c r="J78" s="98"/>
      <c r="K78" s="98"/>
      <c r="L78" s="98"/>
      <c r="M78" s="98"/>
      <c r="N78" s="98"/>
      <c r="O78" s="98"/>
      <c r="P78" s="155"/>
      <c r="Q78" s="158">
        <v>23</v>
      </c>
    </row>
    <row r="79" spans="1:17" ht="20.100000000000001" customHeight="1" x14ac:dyDescent="0.4">
      <c r="A79" s="107">
        <v>92</v>
      </c>
      <c r="B79" s="108" t="s">
        <v>192</v>
      </c>
      <c r="C79" s="109" t="s">
        <v>193</v>
      </c>
      <c r="D79" s="110" t="s">
        <v>61</v>
      </c>
      <c r="E79" s="111" t="s">
        <v>61</v>
      </c>
      <c r="F79" s="111" t="s">
        <v>61</v>
      </c>
      <c r="G79" s="111" t="s">
        <v>61</v>
      </c>
      <c r="H79" s="111" t="s">
        <v>61</v>
      </c>
      <c r="I79" s="122"/>
      <c r="J79" s="111"/>
      <c r="K79" s="111"/>
      <c r="L79" s="111"/>
      <c r="M79" s="111"/>
      <c r="N79" s="111"/>
      <c r="O79" s="111"/>
      <c r="P79" s="159"/>
      <c r="Q79" s="160">
        <v>10</v>
      </c>
    </row>
    <row r="80" spans="1:17" ht="20.100000000000001" customHeight="1" x14ac:dyDescent="0.4">
      <c r="A80" s="112">
        <v>71</v>
      </c>
      <c r="B80" s="100" t="s">
        <v>194</v>
      </c>
      <c r="C80" s="101" t="s">
        <v>195</v>
      </c>
      <c r="D80" s="113" t="s">
        <v>209</v>
      </c>
      <c r="E80" s="114" t="s">
        <v>209</v>
      </c>
      <c r="F80" s="114" t="s">
        <v>209</v>
      </c>
      <c r="G80" s="114" t="s">
        <v>209</v>
      </c>
      <c r="H80" s="114" t="s">
        <v>209</v>
      </c>
      <c r="I80" s="123"/>
      <c r="J80" s="114"/>
      <c r="K80" s="114"/>
      <c r="L80" s="114"/>
      <c r="M80" s="114"/>
      <c r="N80" s="114"/>
      <c r="O80" s="114"/>
      <c r="P80" s="157"/>
      <c r="Q80" s="161">
        <v>5</v>
      </c>
    </row>
    <row r="81" spans="1:17" ht="20.100000000000001" customHeight="1" thickBot="1" x14ac:dyDescent="0.45">
      <c r="A81" s="138">
        <v>2</v>
      </c>
      <c r="B81" s="136" t="s">
        <v>196</v>
      </c>
      <c r="C81" s="137" t="s">
        <v>197</v>
      </c>
      <c r="D81" s="130" t="s">
        <v>205</v>
      </c>
      <c r="E81" s="131" t="s">
        <v>205</v>
      </c>
      <c r="F81" s="131" t="s">
        <v>208</v>
      </c>
      <c r="G81" s="131" t="s">
        <v>205</v>
      </c>
      <c r="H81" s="131" t="s">
        <v>205</v>
      </c>
      <c r="I81" s="132"/>
      <c r="J81" s="131"/>
      <c r="K81" s="131"/>
      <c r="L81" s="131"/>
      <c r="M81" s="131"/>
      <c r="N81" s="131"/>
      <c r="O81" s="131"/>
      <c r="P81" s="156"/>
      <c r="Q81" s="128">
        <v>5</v>
      </c>
    </row>
  </sheetData>
  <phoneticPr fontId="1"/>
  <conditionalFormatting sqref="D4:P81">
    <cfRule type="endsWith" dxfId="188" priority="1" stopIfTrue="1" operator="endsWith" text="MR">
      <formula>RIGHT(D4,LEN("MR"))="MR"</formula>
    </cfRule>
    <cfRule type="endsWith" dxfId="187" priority="2" stopIfTrue="1" operator="endsWith" text="TV">
      <formula>RIGHT(D4,LEN("TV"))="TV"</formula>
    </cfRule>
    <cfRule type="endsWith" dxfId="186" priority="3" stopIfTrue="1" operator="endsWith" text="KS">
      <formula>RIGHT(D4,LEN("KS"))="KS"</formula>
    </cfRule>
    <cfRule type="endsWith" dxfId="185" priority="4" stopIfTrue="1" operator="endsWith" text="NM">
      <formula>RIGHT(D4,LEN("NM"))="NM"</formula>
    </cfRule>
    <cfRule type="endsWith" dxfId="184" priority="5" stopIfTrue="1" operator="endsWith" text="AG">
      <formula>RIGHT(D4,LEN("AG"))="AG"</formula>
    </cfRule>
    <cfRule type="endsWith" dxfId="183" priority="6" stopIfTrue="1" operator="endsWith" text="RT">
      <formula>RIGHT(D4,LEN("RT"))="RT"</formula>
    </cfRule>
    <cfRule type="endsWith" dxfId="182" priority="7" stopIfTrue="1" operator="endsWith" text="XP">
      <formula>RIGHT(D4,LEN("XP"))="XP"</formula>
    </cfRule>
    <cfRule type="endsWith" dxfId="181" priority="8" stopIfTrue="1" operator="endsWith" text="MG">
      <formula>RIGHT(D4,LEN("MG"))="MG"</formula>
    </cfRule>
    <cfRule type="endsWith" dxfId="180" priority="9" stopIfTrue="1" operator="endsWith" text="MT">
      <formula>RIGHT(D4,LEN("MT"))="MT"</formula>
    </cfRule>
    <cfRule type="endsWith" dxfId="179" priority="10" stopIfTrue="1" operator="endsWith" text="CT">
      <formula>RIGHT(D4,LEN("CT"))="CT"</formula>
    </cfRule>
    <cfRule type="endsWith" dxfId="178" priority="11" stopIfTrue="1" operator="endsWith" text="XO">
      <formula>RIGHT(D4,LEN("XO"))="XO"</formula>
    </cfRule>
    <cfRule type="endsWith" dxfId="177" priority="12" stopIfTrue="1" operator="endsWith" text="FR">
      <formula>RIGHT(D4,LEN("FR"))="FR"</formula>
    </cfRule>
    <cfRule type="endsWith" dxfId="176" priority="13" stopIfTrue="1" operator="endsWith" text="AS">
      <formula>RIGHT(D4,LEN("AS"))="AS"</formula>
    </cfRule>
    <cfRule type="endsWith" dxfId="175" priority="14" stopIfTrue="1" operator="endsWith" text="ET">
      <formula>RIGHT(D4,LEN("ET"))="ET"</formula>
    </cfRule>
    <cfRule type="endsWith" dxfId="174" priority="15" stopIfTrue="1" operator="endsWith" text="NF">
      <formula>RIGHT(D4,LEN("NF"))="NF"</formula>
    </cfRule>
    <cfRule type="endsWith" dxfId="173" priority="16" stopIfTrue="1" operator="endsWith" text="八援">
      <formula>RIGHT(D4,LEN("八援"))="八援"</formula>
    </cfRule>
    <cfRule type="endsWith" dxfId="172" priority="17" stopIfTrue="1" operator="endsWith" text="UN">
      <formula>RIGHT(D4,LEN("UN"))="UN"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6" r:id="rId4" name="CalendarBox">
          <controlPr defaultSize="0" autoLine="0" r:id="rId5">
            <anchor moveWithCells="1">
              <from>
                <xdr:col>0</xdr:col>
                <xdr:colOff>171450</xdr:colOff>
                <xdr:row>1</xdr:row>
                <xdr:rowOff>133350</xdr:rowOff>
              </from>
              <to>
                <xdr:col>2</xdr:col>
                <xdr:colOff>533400</xdr:colOff>
                <xdr:row>2</xdr:row>
                <xdr:rowOff>276225</xdr:rowOff>
              </to>
            </anchor>
          </controlPr>
        </control>
      </mc:Choice>
      <mc:Fallback>
        <control shapeId="5126" r:id="rId4" name="CalendarBox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1482-7F49-44FA-B057-1171E971B548}">
  <sheetPr codeName="Sheet4"/>
  <dimension ref="A2:I101"/>
  <sheetViews>
    <sheetView workbookViewId="0">
      <pane ySplit="3" topLeftCell="A80" activePane="bottomLeft" state="frozenSplit"/>
      <selection pane="bottomLeft" activeCell="J2" sqref="J2"/>
    </sheetView>
  </sheetViews>
  <sheetFormatPr defaultColWidth="12.625" defaultRowHeight="18.75" x14ac:dyDescent="0.4"/>
  <cols>
    <col min="1" max="1" width="12.625" style="1" customWidth="1"/>
    <col min="2" max="4" width="12.625" style="1"/>
    <col min="5" max="5" width="15.625" style="1" customWidth="1"/>
    <col min="6" max="8" width="12.625" style="1"/>
    <col min="9" max="9" width="30.625" style="1" customWidth="1"/>
    <col min="10" max="16384" width="12.625" style="1"/>
  </cols>
  <sheetData>
    <row r="2" spans="1:9" ht="19.5" thickBot="1" x14ac:dyDescent="0.45"/>
    <row r="3" spans="1:9" ht="19.5" thickBot="1" x14ac:dyDescent="0.45">
      <c r="A3" s="83" t="s">
        <v>210</v>
      </c>
      <c r="B3" s="82" t="s">
        <v>211</v>
      </c>
      <c r="C3" s="82" t="s">
        <v>212</v>
      </c>
      <c r="D3" s="82" t="s">
        <v>213</v>
      </c>
      <c r="E3" s="82" t="s">
        <v>214</v>
      </c>
      <c r="F3" s="82" t="s">
        <v>215</v>
      </c>
      <c r="G3" s="82" t="s">
        <v>216</v>
      </c>
      <c r="H3" s="82" t="s">
        <v>217</v>
      </c>
      <c r="I3" s="84" t="s">
        <v>218</v>
      </c>
    </row>
    <row r="4" spans="1:9" x14ac:dyDescent="0.4">
      <c r="A4" s="220" t="s">
        <v>219</v>
      </c>
      <c r="B4" s="221">
        <v>97</v>
      </c>
      <c r="C4" s="5" t="s">
        <v>117</v>
      </c>
      <c r="D4" s="221" t="s">
        <v>118</v>
      </c>
      <c r="E4" s="221"/>
      <c r="F4" s="221">
        <v>1</v>
      </c>
      <c r="G4" s="221">
        <v>1</v>
      </c>
      <c r="H4" s="221">
        <v>0</v>
      </c>
      <c r="I4" s="146"/>
    </row>
    <row r="5" spans="1:9" x14ac:dyDescent="0.4">
      <c r="A5" s="222" t="s">
        <v>219</v>
      </c>
      <c r="B5" s="16">
        <v>4</v>
      </c>
      <c r="C5" s="3" t="s">
        <v>36</v>
      </c>
      <c r="D5" s="16" t="s">
        <v>37</v>
      </c>
      <c r="E5" s="16"/>
      <c r="F5" s="16">
        <v>1</v>
      </c>
      <c r="G5" s="16">
        <v>1</v>
      </c>
      <c r="H5" s="16">
        <v>0</v>
      </c>
      <c r="I5" s="223"/>
    </row>
    <row r="6" spans="1:9" x14ac:dyDescent="0.4">
      <c r="A6" s="222" t="s">
        <v>219</v>
      </c>
      <c r="B6" s="16">
        <v>5</v>
      </c>
      <c r="C6" s="3" t="s">
        <v>123</v>
      </c>
      <c r="D6" s="16" t="s">
        <v>124</v>
      </c>
      <c r="E6" s="16"/>
      <c r="F6" s="16">
        <v>1</v>
      </c>
      <c r="G6" s="16">
        <v>3</v>
      </c>
      <c r="H6" s="16">
        <v>2</v>
      </c>
      <c r="I6" s="223"/>
    </row>
    <row r="7" spans="1:9" x14ac:dyDescent="0.4">
      <c r="A7" s="222" t="s">
        <v>219</v>
      </c>
      <c r="B7" s="16">
        <v>7</v>
      </c>
      <c r="C7" s="3" t="s">
        <v>126</v>
      </c>
      <c r="D7" s="16" t="s">
        <v>127</v>
      </c>
      <c r="E7" s="16"/>
      <c r="F7" s="16">
        <v>1</v>
      </c>
      <c r="G7" s="16">
        <v>1</v>
      </c>
      <c r="H7" s="16">
        <v>0</v>
      </c>
      <c r="I7" s="223"/>
    </row>
    <row r="8" spans="1:9" x14ac:dyDescent="0.4">
      <c r="A8" s="17" t="s">
        <v>219</v>
      </c>
      <c r="B8" s="18">
        <v>8</v>
      </c>
      <c r="C8" s="4" t="s">
        <v>59</v>
      </c>
      <c r="D8" s="18" t="s">
        <v>60</v>
      </c>
      <c r="E8" s="18" t="s">
        <v>220</v>
      </c>
      <c r="F8" s="18">
        <v>1</v>
      </c>
      <c r="G8" s="18">
        <v>1</v>
      </c>
      <c r="H8" s="18">
        <v>0</v>
      </c>
      <c r="I8" s="21"/>
    </row>
    <row r="9" spans="1:9" x14ac:dyDescent="0.4">
      <c r="A9" s="85" t="s">
        <v>219</v>
      </c>
      <c r="B9" s="86">
        <v>79</v>
      </c>
      <c r="C9" s="23" t="s">
        <v>80</v>
      </c>
      <c r="D9" s="86" t="s">
        <v>81</v>
      </c>
      <c r="E9" s="86" t="s">
        <v>221</v>
      </c>
      <c r="F9" s="86">
        <v>1</v>
      </c>
      <c r="G9" s="86">
        <v>1</v>
      </c>
      <c r="H9" s="86">
        <v>0</v>
      </c>
      <c r="I9" s="87"/>
    </row>
    <row r="10" spans="1:9" x14ac:dyDescent="0.4">
      <c r="A10" s="14" t="s">
        <v>219</v>
      </c>
      <c r="B10" s="15">
        <v>9</v>
      </c>
      <c r="C10" s="2" t="s">
        <v>128</v>
      </c>
      <c r="D10" s="15" t="s">
        <v>129</v>
      </c>
      <c r="E10" s="15"/>
      <c r="F10" s="15">
        <v>1</v>
      </c>
      <c r="G10" s="15">
        <v>1</v>
      </c>
      <c r="H10" s="15">
        <v>0</v>
      </c>
      <c r="I10" s="20"/>
    </row>
    <row r="11" spans="1:9" x14ac:dyDescent="0.4">
      <c r="A11" s="222" t="s">
        <v>219</v>
      </c>
      <c r="B11" s="16">
        <v>10</v>
      </c>
      <c r="C11" s="3" t="s">
        <v>130</v>
      </c>
      <c r="D11" s="16" t="s">
        <v>131</v>
      </c>
      <c r="E11" s="16"/>
      <c r="F11" s="16">
        <v>1</v>
      </c>
      <c r="G11" s="16">
        <v>1</v>
      </c>
      <c r="H11" s="16"/>
      <c r="I11" s="223"/>
    </row>
    <row r="12" spans="1:9" x14ac:dyDescent="0.4">
      <c r="A12" s="222" t="s">
        <v>219</v>
      </c>
      <c r="B12" s="16">
        <v>98</v>
      </c>
      <c r="C12" s="3" t="s">
        <v>82</v>
      </c>
      <c r="D12" s="16" t="s">
        <v>83</v>
      </c>
      <c r="E12" s="16" t="s">
        <v>222</v>
      </c>
      <c r="F12" s="16">
        <v>1</v>
      </c>
      <c r="G12" s="16">
        <v>1</v>
      </c>
      <c r="H12" s="16">
        <v>0</v>
      </c>
      <c r="I12" s="223"/>
    </row>
    <row r="13" spans="1:9" x14ac:dyDescent="0.4">
      <c r="A13" s="17" t="s">
        <v>219</v>
      </c>
      <c r="B13" s="18">
        <v>11</v>
      </c>
      <c r="C13" s="4" t="s">
        <v>100</v>
      </c>
      <c r="D13" s="18" t="s">
        <v>101</v>
      </c>
      <c r="E13" s="18" t="s">
        <v>223</v>
      </c>
      <c r="F13" s="18">
        <v>1</v>
      </c>
      <c r="G13" s="18">
        <v>3</v>
      </c>
      <c r="H13" s="18">
        <v>1</v>
      </c>
      <c r="I13" s="21"/>
    </row>
    <row r="14" spans="1:9" x14ac:dyDescent="0.4">
      <c r="A14" s="85" t="s">
        <v>219</v>
      </c>
      <c r="B14" s="86">
        <v>12</v>
      </c>
      <c r="C14" s="23" t="s">
        <v>132</v>
      </c>
      <c r="D14" s="86" t="s">
        <v>133</v>
      </c>
      <c r="E14" s="86" t="s">
        <v>224</v>
      </c>
      <c r="F14" s="86">
        <v>1</v>
      </c>
      <c r="G14" s="86">
        <v>3</v>
      </c>
      <c r="H14" s="86">
        <v>1</v>
      </c>
      <c r="I14" s="87"/>
    </row>
    <row r="15" spans="1:9" x14ac:dyDescent="0.4">
      <c r="A15" s="14" t="s">
        <v>219</v>
      </c>
      <c r="B15" s="15">
        <v>13</v>
      </c>
      <c r="C15" s="2" t="s">
        <v>134</v>
      </c>
      <c r="D15" s="15" t="s">
        <v>135</v>
      </c>
      <c r="E15" s="15"/>
      <c r="F15" s="15">
        <v>1</v>
      </c>
      <c r="G15" s="15">
        <v>1</v>
      </c>
      <c r="H15" s="15"/>
      <c r="I15" s="20"/>
    </row>
    <row r="16" spans="1:9" x14ac:dyDescent="0.4">
      <c r="A16" s="222" t="s">
        <v>219</v>
      </c>
      <c r="B16" s="16">
        <v>14</v>
      </c>
      <c r="C16" s="3" t="s">
        <v>136</v>
      </c>
      <c r="D16" s="16" t="s">
        <v>137</v>
      </c>
      <c r="E16" s="16"/>
      <c r="F16" s="16">
        <v>1</v>
      </c>
      <c r="G16" s="16">
        <v>3</v>
      </c>
      <c r="H16" s="16">
        <v>3</v>
      </c>
      <c r="I16" s="223"/>
    </row>
    <row r="17" spans="1:9" x14ac:dyDescent="0.4">
      <c r="A17" s="222" t="s">
        <v>219</v>
      </c>
      <c r="B17" s="16">
        <v>15</v>
      </c>
      <c r="C17" s="3" t="s">
        <v>62</v>
      </c>
      <c r="D17" s="16" t="s">
        <v>63</v>
      </c>
      <c r="E17" s="16" t="s">
        <v>225</v>
      </c>
      <c r="F17" s="16">
        <v>1</v>
      </c>
      <c r="G17" s="16">
        <v>2</v>
      </c>
      <c r="H17" s="16">
        <v>0</v>
      </c>
      <c r="I17" s="223"/>
    </row>
    <row r="18" spans="1:9" x14ac:dyDescent="0.4">
      <c r="A18" s="17" t="s">
        <v>219</v>
      </c>
      <c r="B18" s="18">
        <v>16</v>
      </c>
      <c r="C18" s="4" t="s">
        <v>138</v>
      </c>
      <c r="D18" s="18" t="s">
        <v>139</v>
      </c>
      <c r="E18" s="18"/>
      <c r="F18" s="18">
        <v>1</v>
      </c>
      <c r="G18" s="18">
        <v>3</v>
      </c>
      <c r="H18" s="18">
        <v>0</v>
      </c>
      <c r="I18" s="21" t="s">
        <v>226</v>
      </c>
    </row>
    <row r="19" spans="1:9" x14ac:dyDescent="0.4">
      <c r="A19" s="85" t="s">
        <v>227</v>
      </c>
      <c r="B19" s="86">
        <v>88</v>
      </c>
      <c r="C19" s="23" t="s">
        <v>228</v>
      </c>
      <c r="D19" s="86" t="s">
        <v>229</v>
      </c>
      <c r="E19" s="86"/>
      <c r="F19" s="86">
        <v>1</v>
      </c>
      <c r="G19" s="86">
        <v>1</v>
      </c>
      <c r="H19" s="86">
        <v>0</v>
      </c>
      <c r="I19" s="87"/>
    </row>
    <row r="20" spans="1:9" x14ac:dyDescent="0.4">
      <c r="A20" s="14" t="s">
        <v>219</v>
      </c>
      <c r="B20" s="15">
        <v>17</v>
      </c>
      <c r="C20" s="2" t="s">
        <v>140</v>
      </c>
      <c r="D20" s="15" t="s">
        <v>141</v>
      </c>
      <c r="E20" s="15"/>
      <c r="F20" s="15">
        <v>1</v>
      </c>
      <c r="G20" s="15">
        <v>1</v>
      </c>
      <c r="H20" s="15"/>
      <c r="I20" s="20"/>
    </row>
    <row r="21" spans="1:9" x14ac:dyDescent="0.4">
      <c r="A21" s="222" t="s">
        <v>219</v>
      </c>
      <c r="B21" s="16">
        <v>95</v>
      </c>
      <c r="C21" s="3" t="s">
        <v>84</v>
      </c>
      <c r="D21" s="16" t="s">
        <v>85</v>
      </c>
      <c r="E21" s="16" t="s">
        <v>230</v>
      </c>
      <c r="F21" s="16">
        <v>1</v>
      </c>
      <c r="G21" s="16">
        <v>1</v>
      </c>
      <c r="H21" s="16">
        <v>0</v>
      </c>
      <c r="I21" s="223"/>
    </row>
    <row r="22" spans="1:9" x14ac:dyDescent="0.4">
      <c r="A22" s="222" t="s">
        <v>219</v>
      </c>
      <c r="B22" s="16">
        <v>18</v>
      </c>
      <c r="C22" s="3" t="s">
        <v>103</v>
      </c>
      <c r="D22" s="16" t="s">
        <v>104</v>
      </c>
      <c r="E22" s="16"/>
      <c r="F22" s="16">
        <v>1</v>
      </c>
      <c r="G22" s="16">
        <v>1</v>
      </c>
      <c r="H22" s="16">
        <v>0</v>
      </c>
      <c r="I22" s="223"/>
    </row>
    <row r="23" spans="1:9" x14ac:dyDescent="0.4">
      <c r="A23" s="17" t="s">
        <v>219</v>
      </c>
      <c r="B23" s="18">
        <v>20</v>
      </c>
      <c r="C23" s="4" t="s">
        <v>39</v>
      </c>
      <c r="D23" s="18" t="s">
        <v>40</v>
      </c>
      <c r="E23" s="18"/>
      <c r="F23" s="18">
        <v>1</v>
      </c>
      <c r="G23" s="18">
        <v>2</v>
      </c>
      <c r="H23" s="18">
        <v>0</v>
      </c>
      <c r="I23" s="21"/>
    </row>
    <row r="24" spans="1:9" x14ac:dyDescent="0.4">
      <c r="A24" s="85" t="s">
        <v>219</v>
      </c>
      <c r="B24" s="86">
        <v>22</v>
      </c>
      <c r="C24" s="23" t="s">
        <v>105</v>
      </c>
      <c r="D24" s="86" t="s">
        <v>106</v>
      </c>
      <c r="E24" s="86" t="s">
        <v>231</v>
      </c>
      <c r="F24" s="86">
        <v>1</v>
      </c>
      <c r="G24" s="86">
        <v>2</v>
      </c>
      <c r="H24" s="86">
        <v>0</v>
      </c>
      <c r="I24" s="87"/>
    </row>
    <row r="25" spans="1:9" x14ac:dyDescent="0.4">
      <c r="A25" s="14" t="s">
        <v>219</v>
      </c>
      <c r="B25" s="15">
        <v>23</v>
      </c>
      <c r="C25" s="2" t="s">
        <v>120</v>
      </c>
      <c r="D25" s="15" t="s">
        <v>121</v>
      </c>
      <c r="E25" s="15"/>
      <c r="F25" s="15">
        <v>1</v>
      </c>
      <c r="G25" s="15">
        <v>2</v>
      </c>
      <c r="H25" s="15">
        <v>0</v>
      </c>
      <c r="I25" s="20"/>
    </row>
    <row r="26" spans="1:9" x14ac:dyDescent="0.4">
      <c r="A26" s="222" t="s">
        <v>219</v>
      </c>
      <c r="B26" s="16">
        <v>89</v>
      </c>
      <c r="C26" s="3" t="s">
        <v>142</v>
      </c>
      <c r="D26" s="16" t="s">
        <v>143</v>
      </c>
      <c r="E26" s="16" t="s">
        <v>232</v>
      </c>
      <c r="F26" s="16">
        <v>1</v>
      </c>
      <c r="G26" s="16">
        <v>2</v>
      </c>
      <c r="H26" s="16">
        <v>1</v>
      </c>
      <c r="I26" s="223"/>
    </row>
    <row r="27" spans="1:9" x14ac:dyDescent="0.4">
      <c r="A27" s="222" t="s">
        <v>219</v>
      </c>
      <c r="B27" s="16">
        <v>26</v>
      </c>
      <c r="C27" s="3" t="s">
        <v>144</v>
      </c>
      <c r="D27" s="16" t="s">
        <v>145</v>
      </c>
      <c r="E27" s="16" t="s">
        <v>233</v>
      </c>
      <c r="F27" s="16">
        <v>1</v>
      </c>
      <c r="G27" s="16">
        <v>5</v>
      </c>
      <c r="H27" s="16">
        <v>1</v>
      </c>
      <c r="I27" s="223"/>
    </row>
    <row r="28" spans="1:9" x14ac:dyDescent="0.4">
      <c r="A28" s="17" t="s">
        <v>219</v>
      </c>
      <c r="B28" s="18">
        <v>27</v>
      </c>
      <c r="C28" s="4" t="s">
        <v>146</v>
      </c>
      <c r="D28" s="18" t="s">
        <v>147</v>
      </c>
      <c r="E28" s="18" t="s">
        <v>234</v>
      </c>
      <c r="F28" s="18">
        <v>1</v>
      </c>
      <c r="G28" s="18">
        <v>2</v>
      </c>
      <c r="H28" s="18">
        <v>0</v>
      </c>
      <c r="I28" s="21"/>
    </row>
    <row r="29" spans="1:9" x14ac:dyDescent="0.4">
      <c r="A29" s="85" t="s">
        <v>219</v>
      </c>
      <c r="B29" s="86">
        <v>28</v>
      </c>
      <c r="C29" s="23" t="s">
        <v>67</v>
      </c>
      <c r="D29" s="86" t="s">
        <v>7</v>
      </c>
      <c r="E29" s="86" t="s">
        <v>235</v>
      </c>
      <c r="F29" s="86">
        <v>1</v>
      </c>
      <c r="G29" s="86">
        <v>3</v>
      </c>
      <c r="H29" s="86">
        <v>1</v>
      </c>
      <c r="I29" s="87"/>
    </row>
    <row r="30" spans="1:9" x14ac:dyDescent="0.4">
      <c r="A30" s="14" t="s">
        <v>219</v>
      </c>
      <c r="B30" s="15">
        <v>29</v>
      </c>
      <c r="C30" s="2" t="s">
        <v>68</v>
      </c>
      <c r="D30" s="15" t="s">
        <v>69</v>
      </c>
      <c r="E30" s="15" t="s">
        <v>236</v>
      </c>
      <c r="F30" s="15">
        <v>1</v>
      </c>
      <c r="G30" s="15">
        <v>1</v>
      </c>
      <c r="H30" s="15">
        <v>0</v>
      </c>
      <c r="I30" s="20"/>
    </row>
    <row r="31" spans="1:9" x14ac:dyDescent="0.4">
      <c r="A31" s="222" t="s">
        <v>219</v>
      </c>
      <c r="B31" s="16">
        <v>30</v>
      </c>
      <c r="C31" s="3" t="s">
        <v>86</v>
      </c>
      <c r="D31" s="16" t="s">
        <v>87</v>
      </c>
      <c r="E31" s="16" t="s">
        <v>237</v>
      </c>
      <c r="F31" s="16">
        <v>1</v>
      </c>
      <c r="G31" s="16">
        <v>2</v>
      </c>
      <c r="H31" s="16">
        <v>0</v>
      </c>
      <c r="I31" s="223"/>
    </row>
    <row r="32" spans="1:9" x14ac:dyDescent="0.4">
      <c r="A32" s="222" t="s">
        <v>219</v>
      </c>
      <c r="B32" s="16">
        <v>96</v>
      </c>
      <c r="C32" s="3" t="s">
        <v>148</v>
      </c>
      <c r="D32" s="16" t="s">
        <v>149</v>
      </c>
      <c r="E32" s="16" t="s">
        <v>238</v>
      </c>
      <c r="F32" s="16">
        <v>1</v>
      </c>
      <c r="G32" s="16">
        <v>1</v>
      </c>
      <c r="H32" s="16">
        <v>0</v>
      </c>
      <c r="I32" s="223"/>
    </row>
    <row r="33" spans="1:9" x14ac:dyDescent="0.4">
      <c r="A33" s="17" t="s">
        <v>219</v>
      </c>
      <c r="B33" s="18">
        <v>72</v>
      </c>
      <c r="C33" s="4" t="s">
        <v>88</v>
      </c>
      <c r="D33" s="18" t="s">
        <v>89</v>
      </c>
      <c r="E33" s="18" t="s">
        <v>239</v>
      </c>
      <c r="F33" s="18">
        <v>1</v>
      </c>
      <c r="G33" s="18">
        <v>2</v>
      </c>
      <c r="H33" s="18">
        <v>1</v>
      </c>
      <c r="I33" s="21"/>
    </row>
    <row r="34" spans="1:9" x14ac:dyDescent="0.4">
      <c r="A34" s="85" t="s">
        <v>219</v>
      </c>
      <c r="B34" s="86">
        <v>32</v>
      </c>
      <c r="C34" s="23" t="s">
        <v>41</v>
      </c>
      <c r="D34" s="86" t="s">
        <v>42</v>
      </c>
      <c r="E34" s="86"/>
      <c r="F34" s="86">
        <v>1</v>
      </c>
      <c r="G34" s="86">
        <v>3</v>
      </c>
      <c r="H34" s="86">
        <v>1</v>
      </c>
      <c r="I34" s="87"/>
    </row>
    <row r="35" spans="1:9" x14ac:dyDescent="0.4">
      <c r="A35" s="14" t="s">
        <v>219</v>
      </c>
      <c r="B35" s="15">
        <v>33</v>
      </c>
      <c r="C35" s="2" t="s">
        <v>109</v>
      </c>
      <c r="D35" s="15" t="s">
        <v>110</v>
      </c>
      <c r="E35" s="15" t="s">
        <v>240</v>
      </c>
      <c r="F35" s="15">
        <v>1</v>
      </c>
      <c r="G35" s="15">
        <v>5</v>
      </c>
      <c r="H35" s="15">
        <v>0</v>
      </c>
      <c r="I35" s="20"/>
    </row>
    <row r="36" spans="1:9" x14ac:dyDescent="0.4">
      <c r="A36" s="222" t="s">
        <v>219</v>
      </c>
      <c r="B36" s="16">
        <v>34</v>
      </c>
      <c r="C36" s="3" t="s">
        <v>150</v>
      </c>
      <c r="D36" s="16" t="s">
        <v>151</v>
      </c>
      <c r="E36" s="16" t="s">
        <v>241</v>
      </c>
      <c r="F36" s="16">
        <v>1</v>
      </c>
      <c r="G36" s="16">
        <v>2</v>
      </c>
      <c r="H36" s="16">
        <v>1</v>
      </c>
      <c r="I36" s="223"/>
    </row>
    <row r="37" spans="1:9" x14ac:dyDescent="0.4">
      <c r="A37" s="222" t="s">
        <v>219</v>
      </c>
      <c r="B37" s="16">
        <v>35</v>
      </c>
      <c r="C37" s="3" t="s">
        <v>90</v>
      </c>
      <c r="D37" s="16" t="s">
        <v>91</v>
      </c>
      <c r="E37" s="16" t="s">
        <v>242</v>
      </c>
      <c r="F37" s="16">
        <v>1</v>
      </c>
      <c r="G37" s="16">
        <v>2</v>
      </c>
      <c r="H37" s="16">
        <v>0</v>
      </c>
      <c r="I37" s="223"/>
    </row>
    <row r="38" spans="1:9" x14ac:dyDescent="0.4">
      <c r="A38" s="17" t="s">
        <v>219</v>
      </c>
      <c r="B38" s="18">
        <v>36</v>
      </c>
      <c r="C38" s="4" t="s">
        <v>43</v>
      </c>
      <c r="D38" s="18" t="s">
        <v>44</v>
      </c>
      <c r="E38" s="18"/>
      <c r="F38" s="18">
        <v>1</v>
      </c>
      <c r="G38" s="18">
        <v>1</v>
      </c>
      <c r="H38" s="18">
        <v>0</v>
      </c>
      <c r="I38" s="21"/>
    </row>
    <row r="39" spans="1:9" x14ac:dyDescent="0.4">
      <c r="A39" s="85" t="s">
        <v>219</v>
      </c>
      <c r="B39" s="86">
        <v>37</v>
      </c>
      <c r="C39" s="23" t="s">
        <v>152</v>
      </c>
      <c r="D39" s="86" t="s">
        <v>153</v>
      </c>
      <c r="E39" s="86" t="s">
        <v>243</v>
      </c>
      <c r="F39" s="86">
        <v>1</v>
      </c>
      <c r="G39" s="86">
        <v>3</v>
      </c>
      <c r="H39" s="86">
        <v>1</v>
      </c>
      <c r="I39" s="87"/>
    </row>
    <row r="40" spans="1:9" x14ac:dyDescent="0.4">
      <c r="A40" s="14" t="s">
        <v>219</v>
      </c>
      <c r="B40" s="15">
        <v>38</v>
      </c>
      <c r="C40" s="2" t="s">
        <v>154</v>
      </c>
      <c r="D40" s="15" t="s">
        <v>155</v>
      </c>
      <c r="E40" s="15" t="s">
        <v>244</v>
      </c>
      <c r="F40" s="15">
        <v>1</v>
      </c>
      <c r="G40" s="15">
        <v>2</v>
      </c>
      <c r="H40" s="15">
        <v>0</v>
      </c>
      <c r="I40" s="20"/>
    </row>
    <row r="41" spans="1:9" x14ac:dyDescent="0.4">
      <c r="A41" s="222" t="s">
        <v>219</v>
      </c>
      <c r="B41" s="16">
        <v>39</v>
      </c>
      <c r="C41" s="3" t="s">
        <v>156</v>
      </c>
      <c r="D41" s="16" t="s">
        <v>157</v>
      </c>
      <c r="E41" s="16" t="s">
        <v>245</v>
      </c>
      <c r="F41" s="16">
        <v>1</v>
      </c>
      <c r="G41" s="16">
        <v>2</v>
      </c>
      <c r="H41" s="16">
        <v>0</v>
      </c>
      <c r="I41" s="223"/>
    </row>
    <row r="42" spans="1:9" x14ac:dyDescent="0.4">
      <c r="A42" s="222" t="s">
        <v>219</v>
      </c>
      <c r="B42" s="16">
        <v>41</v>
      </c>
      <c r="C42" s="3" t="s">
        <v>45</v>
      </c>
      <c r="D42" s="16" t="s">
        <v>46</v>
      </c>
      <c r="E42" s="16"/>
      <c r="F42" s="16">
        <v>1</v>
      </c>
      <c r="G42" s="16">
        <v>1</v>
      </c>
      <c r="H42" s="16">
        <v>0</v>
      </c>
      <c r="I42" s="223"/>
    </row>
    <row r="43" spans="1:9" x14ac:dyDescent="0.4">
      <c r="A43" s="17" t="s">
        <v>219</v>
      </c>
      <c r="B43" s="18">
        <v>42</v>
      </c>
      <c r="C43" s="4" t="s">
        <v>160</v>
      </c>
      <c r="D43" s="18" t="s">
        <v>161</v>
      </c>
      <c r="E43" s="18" t="s">
        <v>246</v>
      </c>
      <c r="F43" s="18">
        <v>1</v>
      </c>
      <c r="G43" s="18">
        <v>5</v>
      </c>
      <c r="H43" s="18">
        <v>0</v>
      </c>
      <c r="I43" s="21"/>
    </row>
    <row r="44" spans="1:9" x14ac:dyDescent="0.4">
      <c r="A44" s="85" t="s">
        <v>219</v>
      </c>
      <c r="B44" s="86">
        <v>43</v>
      </c>
      <c r="C44" s="23" t="s">
        <v>47</v>
      </c>
      <c r="D44" s="86" t="s">
        <v>48</v>
      </c>
      <c r="E44" s="86"/>
      <c r="F44" s="86">
        <v>1</v>
      </c>
      <c r="G44" s="86">
        <v>2</v>
      </c>
      <c r="H44" s="86">
        <v>0</v>
      </c>
      <c r="I44" s="87" t="s">
        <v>247</v>
      </c>
    </row>
    <row r="45" spans="1:9" x14ac:dyDescent="0.4">
      <c r="A45" s="14" t="s">
        <v>219</v>
      </c>
      <c r="B45" s="15">
        <v>44</v>
      </c>
      <c r="C45" s="2" t="s">
        <v>162</v>
      </c>
      <c r="D45" s="15" t="s">
        <v>163</v>
      </c>
      <c r="E45" s="15" t="s">
        <v>248</v>
      </c>
      <c r="F45" s="15">
        <v>1</v>
      </c>
      <c r="G45" s="15">
        <v>2</v>
      </c>
      <c r="H45" s="15">
        <v>0</v>
      </c>
      <c r="I45" s="20"/>
    </row>
    <row r="46" spans="1:9" x14ac:dyDescent="0.4">
      <c r="A46" s="222" t="s">
        <v>219</v>
      </c>
      <c r="B46" s="16">
        <v>45</v>
      </c>
      <c r="C46" s="3" t="s">
        <v>164</v>
      </c>
      <c r="D46" s="16" t="s">
        <v>165</v>
      </c>
      <c r="E46" s="16" t="s">
        <v>249</v>
      </c>
      <c r="F46" s="16">
        <v>1</v>
      </c>
      <c r="G46" s="16">
        <v>2</v>
      </c>
      <c r="H46" s="16">
        <v>0</v>
      </c>
      <c r="I46" s="223"/>
    </row>
    <row r="47" spans="1:9" x14ac:dyDescent="0.4">
      <c r="A47" s="222" t="s">
        <v>219</v>
      </c>
      <c r="B47" s="16">
        <v>47</v>
      </c>
      <c r="C47" s="3" t="s">
        <v>70</v>
      </c>
      <c r="D47" s="16" t="s">
        <v>71</v>
      </c>
      <c r="E47" s="16"/>
      <c r="F47" s="16">
        <v>1</v>
      </c>
      <c r="G47" s="16">
        <v>2</v>
      </c>
      <c r="H47" s="16">
        <v>0</v>
      </c>
      <c r="I47" s="223"/>
    </row>
    <row r="48" spans="1:9" x14ac:dyDescent="0.4">
      <c r="A48" s="17" t="s">
        <v>219</v>
      </c>
      <c r="B48" s="18">
        <v>90</v>
      </c>
      <c r="C48" s="4" t="s">
        <v>49</v>
      </c>
      <c r="D48" s="18" t="s">
        <v>50</v>
      </c>
      <c r="E48" s="18" t="s">
        <v>250</v>
      </c>
      <c r="F48" s="18">
        <v>1</v>
      </c>
      <c r="G48" s="18">
        <v>1</v>
      </c>
      <c r="H48" s="18">
        <v>0</v>
      </c>
      <c r="I48" s="21"/>
    </row>
    <row r="49" spans="1:9" x14ac:dyDescent="0.4">
      <c r="A49" s="85" t="s">
        <v>219</v>
      </c>
      <c r="B49" s="86">
        <v>49</v>
      </c>
      <c r="C49" s="23" t="s">
        <v>111</v>
      </c>
      <c r="D49" s="86" t="s">
        <v>112</v>
      </c>
      <c r="E49" s="86" t="s">
        <v>251</v>
      </c>
      <c r="F49" s="86">
        <v>1</v>
      </c>
      <c r="G49" s="86">
        <v>1</v>
      </c>
      <c r="H49" s="86">
        <v>0</v>
      </c>
      <c r="I49" s="87"/>
    </row>
    <row r="50" spans="1:9" x14ac:dyDescent="0.4">
      <c r="A50" s="14" t="s">
        <v>219</v>
      </c>
      <c r="B50" s="15">
        <v>50</v>
      </c>
      <c r="C50" s="2" t="s">
        <v>168</v>
      </c>
      <c r="D50" s="15" t="s">
        <v>169</v>
      </c>
      <c r="E50" s="15" t="s">
        <v>252</v>
      </c>
      <c r="F50" s="15">
        <v>1</v>
      </c>
      <c r="G50" s="15">
        <v>3</v>
      </c>
      <c r="H50" s="15">
        <v>0</v>
      </c>
      <c r="I50" s="20"/>
    </row>
    <row r="51" spans="1:9" x14ac:dyDescent="0.4">
      <c r="A51" s="222" t="s">
        <v>219</v>
      </c>
      <c r="B51" s="16">
        <v>53</v>
      </c>
      <c r="C51" s="3" t="s">
        <v>170</v>
      </c>
      <c r="D51" s="16" t="s">
        <v>171</v>
      </c>
      <c r="E51" s="16" t="s">
        <v>253</v>
      </c>
      <c r="F51" s="16">
        <v>1</v>
      </c>
      <c r="G51" s="16">
        <v>2</v>
      </c>
      <c r="H51" s="16">
        <v>0</v>
      </c>
      <c r="I51" s="223"/>
    </row>
    <row r="52" spans="1:9" x14ac:dyDescent="0.4">
      <c r="A52" s="222" t="s">
        <v>219</v>
      </c>
      <c r="B52" s="16">
        <v>73</v>
      </c>
      <c r="C52" s="3" t="s">
        <v>172</v>
      </c>
      <c r="D52" s="16" t="s">
        <v>173</v>
      </c>
      <c r="E52" s="16" t="s">
        <v>254</v>
      </c>
      <c r="F52" s="16">
        <v>1</v>
      </c>
      <c r="G52" s="16">
        <v>2</v>
      </c>
      <c r="H52" s="16">
        <v>0</v>
      </c>
      <c r="I52" s="223"/>
    </row>
    <row r="53" spans="1:9" x14ac:dyDescent="0.4">
      <c r="A53" s="17" t="s">
        <v>219</v>
      </c>
      <c r="B53" s="18">
        <v>54</v>
      </c>
      <c r="C53" s="4" t="s">
        <v>51</v>
      </c>
      <c r="D53" s="18" t="s">
        <v>52</v>
      </c>
      <c r="E53" s="18"/>
      <c r="F53" s="18">
        <v>1</v>
      </c>
      <c r="G53" s="18">
        <v>1</v>
      </c>
      <c r="H53" s="18">
        <v>0</v>
      </c>
      <c r="I53" s="21"/>
    </row>
    <row r="54" spans="1:9" x14ac:dyDescent="0.4">
      <c r="A54" s="85" t="s">
        <v>219</v>
      </c>
      <c r="B54" s="86">
        <v>56</v>
      </c>
      <c r="C54" s="23" t="s">
        <v>53</v>
      </c>
      <c r="D54" s="86" t="s">
        <v>54</v>
      </c>
      <c r="E54" s="86"/>
      <c r="F54" s="86">
        <v>1</v>
      </c>
      <c r="G54" s="86">
        <v>1</v>
      </c>
      <c r="H54" s="86">
        <v>0</v>
      </c>
      <c r="I54" s="87"/>
    </row>
    <row r="55" spans="1:9" x14ac:dyDescent="0.4">
      <c r="A55" s="14" t="s">
        <v>219</v>
      </c>
      <c r="B55" s="15">
        <v>58</v>
      </c>
      <c r="C55" s="2" t="s">
        <v>92</v>
      </c>
      <c r="D55" s="15" t="s">
        <v>93</v>
      </c>
      <c r="E55" s="15" t="s">
        <v>255</v>
      </c>
      <c r="F55" s="15">
        <v>1</v>
      </c>
      <c r="G55" s="15">
        <v>1</v>
      </c>
      <c r="H55" s="15">
        <v>0</v>
      </c>
      <c r="I55" s="20"/>
    </row>
    <row r="56" spans="1:9" x14ac:dyDescent="0.4">
      <c r="A56" s="222" t="s">
        <v>227</v>
      </c>
      <c r="B56" s="16">
        <v>59</v>
      </c>
      <c r="C56" s="3" t="s">
        <v>256</v>
      </c>
      <c r="D56" s="16" t="s">
        <v>257</v>
      </c>
      <c r="E56" s="16"/>
      <c r="F56" s="16">
        <v>1</v>
      </c>
      <c r="G56" s="16">
        <v>1</v>
      </c>
      <c r="H56" s="16"/>
      <c r="I56" s="223"/>
    </row>
    <row r="57" spans="1:9" x14ac:dyDescent="0.4">
      <c r="A57" s="222" t="s">
        <v>219</v>
      </c>
      <c r="B57" s="16">
        <v>60</v>
      </c>
      <c r="C57" s="3" t="s">
        <v>174</v>
      </c>
      <c r="D57" s="16" t="s">
        <v>175</v>
      </c>
      <c r="E57" s="16" t="s">
        <v>258</v>
      </c>
      <c r="F57" s="16">
        <v>1</v>
      </c>
      <c r="G57" s="16">
        <v>1</v>
      </c>
      <c r="H57" s="16">
        <v>0</v>
      </c>
      <c r="I57" s="223"/>
    </row>
    <row r="58" spans="1:9" x14ac:dyDescent="0.4">
      <c r="A58" s="17" t="s">
        <v>219</v>
      </c>
      <c r="B58" s="18">
        <v>91</v>
      </c>
      <c r="C58" s="4" t="s">
        <v>94</v>
      </c>
      <c r="D58" s="18" t="s">
        <v>95</v>
      </c>
      <c r="E58" s="18" t="s">
        <v>259</v>
      </c>
      <c r="F58" s="18">
        <v>1</v>
      </c>
      <c r="G58" s="18">
        <v>1</v>
      </c>
      <c r="H58" s="18">
        <v>0</v>
      </c>
      <c r="I58" s="21"/>
    </row>
    <row r="59" spans="1:9" x14ac:dyDescent="0.4">
      <c r="A59" s="85" t="s">
        <v>219</v>
      </c>
      <c r="B59" s="86">
        <v>62</v>
      </c>
      <c r="C59" s="23" t="s">
        <v>55</v>
      </c>
      <c r="D59" s="86" t="s">
        <v>56</v>
      </c>
      <c r="E59" s="86"/>
      <c r="F59" s="86">
        <v>1</v>
      </c>
      <c r="G59" s="86">
        <v>1</v>
      </c>
      <c r="H59" s="86">
        <v>0</v>
      </c>
      <c r="I59" s="87" t="s">
        <v>260</v>
      </c>
    </row>
    <row r="60" spans="1:9" x14ac:dyDescent="0.4">
      <c r="A60" s="14" t="s">
        <v>219</v>
      </c>
      <c r="B60" s="15">
        <v>64</v>
      </c>
      <c r="C60" s="2" t="s">
        <v>176</v>
      </c>
      <c r="D60" s="15" t="s">
        <v>177</v>
      </c>
      <c r="E60" s="15" t="s">
        <v>261</v>
      </c>
      <c r="F60" s="15">
        <v>1</v>
      </c>
      <c r="G60" s="15">
        <v>1</v>
      </c>
      <c r="H60" s="15">
        <v>0</v>
      </c>
      <c r="I60" s="20"/>
    </row>
    <row r="61" spans="1:9" x14ac:dyDescent="0.4">
      <c r="A61" s="222" t="s">
        <v>219</v>
      </c>
      <c r="B61" s="16">
        <v>65</v>
      </c>
      <c r="C61" s="3" t="s">
        <v>113</v>
      </c>
      <c r="D61" s="16" t="s">
        <v>114</v>
      </c>
      <c r="E61" s="16" t="s">
        <v>262</v>
      </c>
      <c r="F61" s="16">
        <v>1</v>
      </c>
      <c r="G61" s="16">
        <v>3</v>
      </c>
      <c r="H61" s="16">
        <v>0</v>
      </c>
      <c r="I61" s="223"/>
    </row>
    <row r="62" spans="1:9" x14ac:dyDescent="0.4">
      <c r="A62" s="222" t="s">
        <v>219</v>
      </c>
      <c r="B62" s="16">
        <v>66</v>
      </c>
      <c r="C62" s="3" t="s">
        <v>57</v>
      </c>
      <c r="D62" s="16" t="s">
        <v>58</v>
      </c>
      <c r="E62" s="16"/>
      <c r="F62" s="16">
        <v>1</v>
      </c>
      <c r="G62" s="16">
        <v>1</v>
      </c>
      <c r="H62" s="16">
        <v>0</v>
      </c>
      <c r="I62" s="223"/>
    </row>
    <row r="63" spans="1:9" x14ac:dyDescent="0.4">
      <c r="A63" s="17" t="s">
        <v>219</v>
      </c>
      <c r="B63" s="18">
        <v>67</v>
      </c>
      <c r="C63" s="4" t="s">
        <v>178</v>
      </c>
      <c r="D63" s="18" t="s">
        <v>179</v>
      </c>
      <c r="E63" s="18" t="s">
        <v>263</v>
      </c>
      <c r="F63" s="18">
        <v>1</v>
      </c>
      <c r="G63" s="18">
        <v>1</v>
      </c>
      <c r="H63" s="18">
        <v>0</v>
      </c>
      <c r="I63" s="21"/>
    </row>
    <row r="64" spans="1:9" x14ac:dyDescent="0.4">
      <c r="A64" s="85" t="s">
        <v>219</v>
      </c>
      <c r="B64" s="86">
        <v>68</v>
      </c>
      <c r="C64" s="23" t="s">
        <v>180</v>
      </c>
      <c r="D64" s="86" t="s">
        <v>181</v>
      </c>
      <c r="E64" s="86" t="s">
        <v>264</v>
      </c>
      <c r="F64" s="86">
        <v>1</v>
      </c>
      <c r="G64" s="86">
        <v>3</v>
      </c>
      <c r="H64" s="86">
        <v>0</v>
      </c>
      <c r="I64" s="87"/>
    </row>
    <row r="65" spans="1:9" x14ac:dyDescent="0.4">
      <c r="A65" s="14" t="s">
        <v>219</v>
      </c>
      <c r="B65" s="15">
        <v>74</v>
      </c>
      <c r="C65" s="2" t="s">
        <v>72</v>
      </c>
      <c r="D65" s="15" t="s">
        <v>73</v>
      </c>
      <c r="E65" s="15" t="s">
        <v>265</v>
      </c>
      <c r="F65" s="15">
        <v>1</v>
      </c>
      <c r="G65" s="15">
        <v>1</v>
      </c>
      <c r="H65" s="15">
        <v>0</v>
      </c>
      <c r="I65" s="20"/>
    </row>
    <row r="66" spans="1:9" x14ac:dyDescent="0.4">
      <c r="A66" s="222" t="s">
        <v>219</v>
      </c>
      <c r="B66" s="16">
        <v>75</v>
      </c>
      <c r="C66" s="3" t="s">
        <v>182</v>
      </c>
      <c r="D66" s="16" t="s">
        <v>183</v>
      </c>
      <c r="E66" s="16" t="s">
        <v>266</v>
      </c>
      <c r="F66" s="16">
        <v>1</v>
      </c>
      <c r="G66" s="16">
        <v>1</v>
      </c>
      <c r="H66" s="16">
        <v>0</v>
      </c>
      <c r="I66" s="223"/>
    </row>
    <row r="67" spans="1:9" x14ac:dyDescent="0.4">
      <c r="A67" s="222" t="s">
        <v>219</v>
      </c>
      <c r="B67" s="16">
        <v>76</v>
      </c>
      <c r="C67" s="3" t="s">
        <v>184</v>
      </c>
      <c r="D67" s="16" t="s">
        <v>185</v>
      </c>
      <c r="E67" s="16" t="s">
        <v>267</v>
      </c>
      <c r="F67" s="16">
        <v>1</v>
      </c>
      <c r="G67" s="16">
        <v>1</v>
      </c>
      <c r="H67" s="16">
        <v>0</v>
      </c>
      <c r="I67" s="223"/>
    </row>
    <row r="68" spans="1:9" x14ac:dyDescent="0.4">
      <c r="A68" s="17" t="s">
        <v>219</v>
      </c>
      <c r="B68" s="18">
        <v>77</v>
      </c>
      <c r="C68" s="4" t="s">
        <v>186</v>
      </c>
      <c r="D68" s="18" t="s">
        <v>187</v>
      </c>
      <c r="E68" s="18" t="s">
        <v>268</v>
      </c>
      <c r="F68" s="18">
        <v>1</v>
      </c>
      <c r="G68" s="18">
        <v>1</v>
      </c>
      <c r="H68" s="18">
        <v>0</v>
      </c>
      <c r="I68" s="21"/>
    </row>
    <row r="69" spans="1:9" x14ac:dyDescent="0.4">
      <c r="A69" s="85" t="s">
        <v>219</v>
      </c>
      <c r="B69" s="86">
        <v>78</v>
      </c>
      <c r="C69" s="23" t="s">
        <v>96</v>
      </c>
      <c r="D69" s="86" t="s">
        <v>97</v>
      </c>
      <c r="E69" s="86" t="s">
        <v>269</v>
      </c>
      <c r="F69" s="86">
        <v>1</v>
      </c>
      <c r="G69" s="86">
        <v>1</v>
      </c>
      <c r="H69" s="86">
        <v>0</v>
      </c>
      <c r="I69" s="87"/>
    </row>
    <row r="70" spans="1:9" x14ac:dyDescent="0.4">
      <c r="A70" s="14" t="s">
        <v>219</v>
      </c>
      <c r="B70" s="15">
        <v>85</v>
      </c>
      <c r="C70" s="2" t="s">
        <v>74</v>
      </c>
      <c r="D70" s="15" t="s">
        <v>75</v>
      </c>
      <c r="E70" s="15" t="s">
        <v>270</v>
      </c>
      <c r="F70" s="15">
        <v>1</v>
      </c>
      <c r="G70" s="15">
        <v>1</v>
      </c>
      <c r="H70" s="15">
        <v>0</v>
      </c>
      <c r="I70" s="20"/>
    </row>
    <row r="71" spans="1:9" x14ac:dyDescent="0.4">
      <c r="A71" s="222" t="s">
        <v>219</v>
      </c>
      <c r="B71" s="16">
        <v>81</v>
      </c>
      <c r="C71" s="3" t="s">
        <v>188</v>
      </c>
      <c r="D71" s="16" t="s">
        <v>189</v>
      </c>
      <c r="E71" s="16" t="s">
        <v>271</v>
      </c>
      <c r="F71" s="16">
        <v>1</v>
      </c>
      <c r="G71" s="16">
        <v>1</v>
      </c>
      <c r="H71" s="16">
        <v>0</v>
      </c>
      <c r="I71" s="223"/>
    </row>
    <row r="72" spans="1:9" x14ac:dyDescent="0.4">
      <c r="A72" s="222" t="s">
        <v>219</v>
      </c>
      <c r="B72" s="16">
        <v>82</v>
      </c>
      <c r="C72" s="3" t="s">
        <v>76</v>
      </c>
      <c r="D72" s="16" t="s">
        <v>77</v>
      </c>
      <c r="E72" s="16" t="s">
        <v>272</v>
      </c>
      <c r="F72" s="16">
        <v>1</v>
      </c>
      <c r="G72" s="16">
        <v>1</v>
      </c>
      <c r="H72" s="16">
        <v>0</v>
      </c>
      <c r="I72" s="223"/>
    </row>
    <row r="73" spans="1:9" x14ac:dyDescent="0.4">
      <c r="A73" s="17" t="s">
        <v>219</v>
      </c>
      <c r="B73" s="18">
        <v>84</v>
      </c>
      <c r="C73" s="4" t="s">
        <v>190</v>
      </c>
      <c r="D73" s="18" t="s">
        <v>191</v>
      </c>
      <c r="E73" s="18" t="s">
        <v>273</v>
      </c>
      <c r="F73" s="18">
        <v>1</v>
      </c>
      <c r="G73" s="18">
        <v>1</v>
      </c>
      <c r="H73" s="18">
        <v>0</v>
      </c>
      <c r="I73" s="21"/>
    </row>
    <row r="74" spans="1:9" x14ac:dyDescent="0.4">
      <c r="A74" s="85" t="s">
        <v>219</v>
      </c>
      <c r="B74" s="86">
        <v>87</v>
      </c>
      <c r="C74" s="23" t="s">
        <v>98</v>
      </c>
      <c r="D74" s="86" t="s">
        <v>99</v>
      </c>
      <c r="E74" s="86" t="s">
        <v>274</v>
      </c>
      <c r="F74" s="86">
        <v>1</v>
      </c>
      <c r="G74" s="86">
        <v>1</v>
      </c>
      <c r="H74" s="86">
        <v>0</v>
      </c>
      <c r="I74" s="87"/>
    </row>
    <row r="75" spans="1:9" x14ac:dyDescent="0.4">
      <c r="A75" s="14" t="s">
        <v>219</v>
      </c>
      <c r="B75" s="15">
        <v>92</v>
      </c>
      <c r="C75" s="2" t="s">
        <v>192</v>
      </c>
      <c r="D75" s="15" t="s">
        <v>193</v>
      </c>
      <c r="E75" s="15" t="s">
        <v>275</v>
      </c>
      <c r="F75" s="15">
        <v>1</v>
      </c>
      <c r="G75" s="15">
        <v>1</v>
      </c>
      <c r="H75" s="15">
        <v>0</v>
      </c>
      <c r="I75" s="20"/>
    </row>
    <row r="76" spans="1:9" x14ac:dyDescent="0.4">
      <c r="A76" s="222" t="s">
        <v>219</v>
      </c>
      <c r="B76" s="16">
        <v>93</v>
      </c>
      <c r="C76" s="3" t="s">
        <v>115</v>
      </c>
      <c r="D76" s="16" t="s">
        <v>116</v>
      </c>
      <c r="E76" s="16" t="s">
        <v>276</v>
      </c>
      <c r="F76" s="16">
        <v>1</v>
      </c>
      <c r="G76" s="16">
        <v>1</v>
      </c>
      <c r="H76" s="16">
        <v>0</v>
      </c>
      <c r="I76" s="223"/>
    </row>
    <row r="77" spans="1:9" x14ac:dyDescent="0.4">
      <c r="A77" s="222" t="s">
        <v>219</v>
      </c>
      <c r="B77" s="16">
        <v>94</v>
      </c>
      <c r="C77" s="3" t="s">
        <v>78</v>
      </c>
      <c r="D77" s="16" t="s">
        <v>79</v>
      </c>
      <c r="E77" s="16" t="s">
        <v>277</v>
      </c>
      <c r="F77" s="16">
        <v>1</v>
      </c>
      <c r="G77" s="16">
        <v>1</v>
      </c>
      <c r="H77" s="16">
        <v>0</v>
      </c>
      <c r="I77" s="223"/>
    </row>
    <row r="78" spans="1:9" x14ac:dyDescent="0.4">
      <c r="A78" s="17" t="s">
        <v>219</v>
      </c>
      <c r="B78" s="18">
        <v>19</v>
      </c>
      <c r="C78" s="4" t="s">
        <v>65</v>
      </c>
      <c r="D78" s="18" t="s">
        <v>66</v>
      </c>
      <c r="E78" s="18"/>
      <c r="F78" s="18">
        <v>2</v>
      </c>
      <c r="G78" s="18">
        <v>1</v>
      </c>
      <c r="H78" s="18">
        <v>0</v>
      </c>
      <c r="I78" s="21" t="s">
        <v>278</v>
      </c>
    </row>
    <row r="79" spans="1:9" ht="93.75" x14ac:dyDescent="0.4">
      <c r="A79" s="85" t="s">
        <v>219</v>
      </c>
      <c r="B79" s="86">
        <v>24</v>
      </c>
      <c r="C79" s="23" t="s">
        <v>107</v>
      </c>
      <c r="D79" s="86" t="s">
        <v>108</v>
      </c>
      <c r="E79" s="86"/>
      <c r="F79" s="86">
        <v>2</v>
      </c>
      <c r="G79" s="86">
        <v>1</v>
      </c>
      <c r="H79" s="86">
        <v>0</v>
      </c>
      <c r="I79" s="147" t="s">
        <v>279</v>
      </c>
    </row>
    <row r="80" spans="1:9" ht="37.5" x14ac:dyDescent="0.4">
      <c r="A80" s="14" t="s">
        <v>219</v>
      </c>
      <c r="B80" s="15">
        <v>40</v>
      </c>
      <c r="C80" s="2" t="s">
        <v>158</v>
      </c>
      <c r="D80" s="15" t="s">
        <v>159</v>
      </c>
      <c r="E80" s="15"/>
      <c r="F80" s="15">
        <v>2</v>
      </c>
      <c r="G80" s="15">
        <v>1</v>
      </c>
      <c r="H80" s="15">
        <v>0</v>
      </c>
      <c r="I80" s="148" t="s">
        <v>280</v>
      </c>
    </row>
    <row r="81" spans="1:9" ht="131.25" x14ac:dyDescent="0.4">
      <c r="A81" s="222" t="s">
        <v>219</v>
      </c>
      <c r="B81" s="16">
        <v>46</v>
      </c>
      <c r="C81" s="3" t="s">
        <v>166</v>
      </c>
      <c r="D81" s="16" t="s">
        <v>167</v>
      </c>
      <c r="E81" s="16"/>
      <c r="F81" s="16">
        <v>2</v>
      </c>
      <c r="G81" s="16">
        <v>1</v>
      </c>
      <c r="H81" s="16">
        <v>0</v>
      </c>
      <c r="I81" s="149" t="s">
        <v>281</v>
      </c>
    </row>
    <row r="82" spans="1:9" x14ac:dyDescent="0.4">
      <c r="A82" s="222" t="s">
        <v>219</v>
      </c>
      <c r="B82" s="16">
        <v>2</v>
      </c>
      <c r="C82" s="3" t="s">
        <v>196</v>
      </c>
      <c r="D82" s="16" t="s">
        <v>197</v>
      </c>
      <c r="E82" s="16"/>
      <c r="F82" s="16">
        <v>3</v>
      </c>
      <c r="G82" s="16">
        <v>1</v>
      </c>
      <c r="H82" s="16">
        <v>0</v>
      </c>
      <c r="I82" s="223" t="s">
        <v>282</v>
      </c>
    </row>
    <row r="83" spans="1:9" x14ac:dyDescent="0.4">
      <c r="A83" s="17" t="s">
        <v>227</v>
      </c>
      <c r="B83" s="18">
        <v>21</v>
      </c>
      <c r="C83" s="4" t="s">
        <v>283</v>
      </c>
      <c r="D83" s="18" t="s">
        <v>284</v>
      </c>
      <c r="E83" s="18"/>
      <c r="F83" s="18">
        <v>4</v>
      </c>
      <c r="G83" s="18">
        <v>2</v>
      </c>
      <c r="H83" s="18">
        <v>1</v>
      </c>
      <c r="I83" s="21"/>
    </row>
    <row r="84" spans="1:9" x14ac:dyDescent="0.4">
      <c r="A84" s="85" t="s">
        <v>227</v>
      </c>
      <c r="B84" s="86">
        <v>80</v>
      </c>
      <c r="C84" s="23" t="s">
        <v>285</v>
      </c>
      <c r="D84" s="86" t="s">
        <v>286</v>
      </c>
      <c r="E84" s="86"/>
      <c r="F84" s="86">
        <v>4</v>
      </c>
      <c r="G84" s="86">
        <v>1</v>
      </c>
      <c r="H84" s="86">
        <v>0</v>
      </c>
      <c r="I84" s="87"/>
    </row>
    <row r="85" spans="1:9" x14ac:dyDescent="0.4">
      <c r="A85" s="14" t="s">
        <v>227</v>
      </c>
      <c r="B85" s="15">
        <v>51</v>
      </c>
      <c r="C85" s="2" t="s">
        <v>287</v>
      </c>
      <c r="D85" s="15" t="s">
        <v>288</v>
      </c>
      <c r="E85" s="15"/>
      <c r="F85" s="15">
        <v>4</v>
      </c>
      <c r="G85" s="15">
        <v>1</v>
      </c>
      <c r="H85" s="15"/>
      <c r="I85" s="20"/>
    </row>
    <row r="86" spans="1:9" x14ac:dyDescent="0.4">
      <c r="A86" s="222" t="s">
        <v>227</v>
      </c>
      <c r="B86" s="16">
        <v>3</v>
      </c>
      <c r="C86" s="3" t="s">
        <v>289</v>
      </c>
      <c r="D86" s="16" t="s">
        <v>290</v>
      </c>
      <c r="E86" s="16"/>
      <c r="F86" s="16">
        <v>4</v>
      </c>
      <c r="G86" s="16">
        <v>1</v>
      </c>
      <c r="H86" s="16">
        <v>0</v>
      </c>
      <c r="I86" s="223" t="s">
        <v>291</v>
      </c>
    </row>
    <row r="87" spans="1:9" x14ac:dyDescent="0.4">
      <c r="A87" s="222" t="s">
        <v>219</v>
      </c>
      <c r="B87" s="16">
        <v>71</v>
      </c>
      <c r="C87" s="3" t="s">
        <v>194</v>
      </c>
      <c r="D87" s="16" t="s">
        <v>195</v>
      </c>
      <c r="E87" s="16"/>
      <c r="F87" s="16">
        <v>5</v>
      </c>
      <c r="G87" s="16">
        <v>1</v>
      </c>
      <c r="H87" s="16">
        <v>0</v>
      </c>
      <c r="I87" s="223"/>
    </row>
    <row r="88" spans="1:9" x14ac:dyDescent="0.4">
      <c r="A88" s="17" t="s">
        <v>227</v>
      </c>
      <c r="B88" s="18">
        <v>1</v>
      </c>
      <c r="C88" s="4" t="s">
        <v>292</v>
      </c>
      <c r="D88" s="18" t="s">
        <v>293</v>
      </c>
      <c r="E88" s="18"/>
      <c r="F88" s="18">
        <v>6</v>
      </c>
      <c r="G88" s="18">
        <v>3</v>
      </c>
      <c r="H88" s="18">
        <v>0</v>
      </c>
      <c r="I88" s="21"/>
    </row>
    <row r="89" spans="1:9" x14ac:dyDescent="0.4">
      <c r="A89" s="85" t="s">
        <v>227</v>
      </c>
      <c r="B89" s="86">
        <v>6</v>
      </c>
      <c r="C89" s="23" t="s">
        <v>294</v>
      </c>
      <c r="D89" s="86" t="s">
        <v>295</v>
      </c>
      <c r="E89" s="86"/>
      <c r="F89" s="86">
        <v>6</v>
      </c>
      <c r="G89" s="86">
        <v>2</v>
      </c>
      <c r="H89" s="86">
        <v>0</v>
      </c>
      <c r="I89" s="87"/>
    </row>
    <row r="90" spans="1:9" x14ac:dyDescent="0.4">
      <c r="A90" s="14" t="s">
        <v>227</v>
      </c>
      <c r="B90" s="15">
        <v>25</v>
      </c>
      <c r="C90" s="2" t="s">
        <v>296</v>
      </c>
      <c r="D90" s="15" t="s">
        <v>297</v>
      </c>
      <c r="E90" s="15"/>
      <c r="F90" s="15">
        <v>6</v>
      </c>
      <c r="G90" s="15">
        <v>0</v>
      </c>
      <c r="H90" s="15"/>
      <c r="I90" s="20"/>
    </row>
    <row r="91" spans="1:9" x14ac:dyDescent="0.4">
      <c r="A91" s="222" t="s">
        <v>227</v>
      </c>
      <c r="B91" s="16">
        <v>31</v>
      </c>
      <c r="C91" s="3" t="s">
        <v>298</v>
      </c>
      <c r="D91" s="16" t="s">
        <v>299</v>
      </c>
      <c r="E91" s="16"/>
      <c r="F91" s="16">
        <v>6</v>
      </c>
      <c r="G91" s="16">
        <v>1</v>
      </c>
      <c r="H91" s="16">
        <v>0</v>
      </c>
      <c r="I91" s="223"/>
    </row>
    <row r="92" spans="1:9" x14ac:dyDescent="0.4">
      <c r="A92" s="222" t="s">
        <v>227</v>
      </c>
      <c r="B92" s="16">
        <v>48</v>
      </c>
      <c r="C92" s="3" t="s">
        <v>300</v>
      </c>
      <c r="D92" s="16" t="s">
        <v>301</v>
      </c>
      <c r="E92" s="16"/>
      <c r="F92" s="16">
        <v>6</v>
      </c>
      <c r="G92" s="16">
        <v>1</v>
      </c>
      <c r="H92" s="16">
        <v>0</v>
      </c>
      <c r="I92" s="223"/>
    </row>
    <row r="93" spans="1:9" x14ac:dyDescent="0.4">
      <c r="A93" s="17" t="s">
        <v>227</v>
      </c>
      <c r="B93" s="18">
        <v>52</v>
      </c>
      <c r="C93" s="4" t="s">
        <v>302</v>
      </c>
      <c r="D93" s="18" t="s">
        <v>303</v>
      </c>
      <c r="E93" s="18"/>
      <c r="F93" s="18">
        <v>6</v>
      </c>
      <c r="G93" s="18">
        <v>1</v>
      </c>
      <c r="H93" s="18">
        <v>0</v>
      </c>
      <c r="I93" s="21"/>
    </row>
    <row r="94" spans="1:9" x14ac:dyDescent="0.4">
      <c r="A94" s="85" t="s">
        <v>227</v>
      </c>
      <c r="B94" s="86">
        <v>55</v>
      </c>
      <c r="C94" s="23" t="s">
        <v>304</v>
      </c>
      <c r="D94" s="86" t="s">
        <v>305</v>
      </c>
      <c r="E94" s="86"/>
      <c r="F94" s="86">
        <v>6</v>
      </c>
      <c r="G94" s="86">
        <v>1</v>
      </c>
      <c r="H94" s="86">
        <v>0</v>
      </c>
      <c r="I94" s="87"/>
    </row>
    <row r="95" spans="1:9" x14ac:dyDescent="0.4">
      <c r="A95" s="14" t="s">
        <v>227</v>
      </c>
      <c r="B95" s="15">
        <v>57</v>
      </c>
      <c r="C95" s="2" t="s">
        <v>306</v>
      </c>
      <c r="D95" s="15" t="s">
        <v>307</v>
      </c>
      <c r="E95" s="15"/>
      <c r="F95" s="15">
        <v>6</v>
      </c>
      <c r="G95" s="15">
        <v>1</v>
      </c>
      <c r="H95" s="15">
        <v>0</v>
      </c>
      <c r="I95" s="20"/>
    </row>
    <row r="96" spans="1:9" x14ac:dyDescent="0.4">
      <c r="A96" s="222" t="s">
        <v>227</v>
      </c>
      <c r="B96" s="16">
        <v>61</v>
      </c>
      <c r="C96" s="3" t="s">
        <v>308</v>
      </c>
      <c r="D96" s="16" t="s">
        <v>309</v>
      </c>
      <c r="E96" s="16"/>
      <c r="F96" s="16">
        <v>6</v>
      </c>
      <c r="G96" s="16">
        <v>1</v>
      </c>
      <c r="H96" s="16">
        <v>0</v>
      </c>
      <c r="I96" s="223"/>
    </row>
    <row r="97" spans="1:9" x14ac:dyDescent="0.4">
      <c r="A97" s="222" t="s">
        <v>227</v>
      </c>
      <c r="B97" s="16">
        <v>63</v>
      </c>
      <c r="C97" s="3" t="s">
        <v>310</v>
      </c>
      <c r="D97" s="16" t="s">
        <v>311</v>
      </c>
      <c r="E97" s="16"/>
      <c r="F97" s="16">
        <v>6</v>
      </c>
      <c r="G97" s="16">
        <v>0</v>
      </c>
      <c r="H97" s="16">
        <v>0</v>
      </c>
      <c r="I97" s="223"/>
    </row>
    <row r="98" spans="1:9" x14ac:dyDescent="0.4">
      <c r="A98" s="17" t="s">
        <v>227</v>
      </c>
      <c r="B98" s="18">
        <v>86</v>
      </c>
      <c r="C98" s="4" t="s">
        <v>312</v>
      </c>
      <c r="D98" s="18" t="s">
        <v>313</v>
      </c>
      <c r="E98" s="18"/>
      <c r="F98" s="18">
        <v>6</v>
      </c>
      <c r="G98" s="18">
        <v>1</v>
      </c>
      <c r="H98" s="18">
        <v>0</v>
      </c>
      <c r="I98" s="21"/>
    </row>
    <row r="99" spans="1:9" x14ac:dyDescent="0.4">
      <c r="A99" s="85" t="s">
        <v>227</v>
      </c>
      <c r="B99" s="86">
        <v>99</v>
      </c>
      <c r="C99" s="23" t="s">
        <v>314</v>
      </c>
      <c r="D99" s="86" t="s">
        <v>315</v>
      </c>
      <c r="E99" s="86"/>
      <c r="F99" s="86">
        <v>6</v>
      </c>
      <c r="G99" s="86">
        <v>1</v>
      </c>
      <c r="H99" s="86">
        <v>0</v>
      </c>
      <c r="I99" s="87" t="s">
        <v>316</v>
      </c>
    </row>
    <row r="100" spans="1:9" x14ac:dyDescent="0.4">
      <c r="A100" s="14" t="s">
        <v>227</v>
      </c>
      <c r="B100" s="15">
        <v>69</v>
      </c>
      <c r="C100" s="2" t="s">
        <v>317</v>
      </c>
      <c r="D100" s="15" t="s">
        <v>318</v>
      </c>
      <c r="E100" s="15"/>
      <c r="F100" s="15">
        <v>6</v>
      </c>
      <c r="G100" s="15">
        <v>0</v>
      </c>
      <c r="H100" s="15"/>
      <c r="I100" s="20"/>
    </row>
    <row r="101" spans="1:9" ht="19.5" thickBot="1" x14ac:dyDescent="0.45">
      <c r="A101" s="224" t="s">
        <v>227</v>
      </c>
      <c r="B101" s="19">
        <v>70</v>
      </c>
      <c r="C101" s="7" t="s">
        <v>319</v>
      </c>
      <c r="D101" s="19" t="s">
        <v>320</v>
      </c>
      <c r="E101" s="19"/>
      <c r="F101" s="19">
        <v>6</v>
      </c>
      <c r="G101" s="19">
        <v>0</v>
      </c>
      <c r="H101" s="19">
        <v>0</v>
      </c>
      <c r="I101" s="225"/>
    </row>
  </sheetData>
  <sortState ref="A4:I100">
    <sortCondition ref="B100"/>
  </sortState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20" r:id="rId3" name="EditButton">
          <controlPr defaultSize="0" autoLine="0" r:id="rId4">
            <anchor moveWithCells="1">
              <from>
                <xdr:col>0</xdr:col>
                <xdr:colOff>76200</xdr:colOff>
                <xdr:row>0</xdr:row>
                <xdr:rowOff>47625</xdr:rowOff>
              </from>
              <to>
                <xdr:col>1</xdr:col>
                <xdr:colOff>114300</xdr:colOff>
                <xdr:row>1</xdr:row>
                <xdr:rowOff>200025</xdr:rowOff>
              </to>
            </anchor>
          </controlPr>
        </control>
      </mc:Choice>
      <mc:Fallback>
        <control shapeId="4120" r:id="rId3" name="EditButton"/>
      </mc:Fallback>
    </mc:AlternateContent>
    <mc:AlternateContent xmlns:mc="http://schemas.openxmlformats.org/markup-compatibility/2006">
      <mc:Choice Requires="x14">
        <control shapeId="4122" r:id="rId5" name="NewButton">
          <controlPr defaultSize="0" autoLine="0" r:id="rId6">
            <anchor moveWithCells="1">
              <from>
                <xdr:col>1</xdr:col>
                <xdr:colOff>209550</xdr:colOff>
                <xdr:row>0</xdr:row>
                <xdr:rowOff>47625</xdr:rowOff>
              </from>
              <to>
                <xdr:col>2</xdr:col>
                <xdr:colOff>247650</xdr:colOff>
                <xdr:row>1</xdr:row>
                <xdr:rowOff>200025</xdr:rowOff>
              </to>
            </anchor>
          </controlPr>
        </control>
      </mc:Choice>
      <mc:Fallback>
        <control shapeId="4122" r:id="rId5" name="New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789FA-8A0D-4F12-8240-ED9FD83D3466}">
  <sheetPr codeName="tmpmeomosheet"/>
  <dimension ref="A2:A11"/>
  <sheetViews>
    <sheetView workbookViewId="0">
      <selection activeCell="F23" sqref="F23"/>
    </sheetView>
  </sheetViews>
  <sheetFormatPr defaultRowHeight="18.75" x14ac:dyDescent="0.4"/>
  <sheetData>
    <row r="2" spans="1:1" x14ac:dyDescent="0.4">
      <c r="A2" t="s">
        <v>321</v>
      </c>
    </row>
    <row r="4" spans="1:1" x14ac:dyDescent="0.4">
      <c r="A4" t="s">
        <v>322</v>
      </c>
    </row>
    <row r="5" spans="1:1" x14ac:dyDescent="0.4">
      <c r="A5" t="s">
        <v>323</v>
      </c>
    </row>
    <row r="7" spans="1:1" x14ac:dyDescent="0.4">
      <c r="A7" t="s">
        <v>324</v>
      </c>
    </row>
    <row r="9" spans="1:1" x14ac:dyDescent="0.4">
      <c r="A9" t="s">
        <v>325</v>
      </c>
    </row>
    <row r="11" spans="1:1" x14ac:dyDescent="0.4">
      <c r="A11" t="s">
        <v>326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勤務表</vt:lpstr>
      <vt:lpstr>夜勤表</vt:lpstr>
      <vt:lpstr>習熟度</vt:lpstr>
      <vt:lpstr>ワーキング</vt:lpstr>
      <vt:lpstr>配置&amp;休暇</vt:lpstr>
      <vt:lpstr>スタッフ登録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ホンダヒロシ</dc:creator>
  <cp:keywords/>
  <dc:description/>
  <cp:lastModifiedBy>東海大学医学部付属病院【IPC01J140】</cp:lastModifiedBy>
  <cp:revision/>
  <dcterms:created xsi:type="dcterms:W3CDTF">2023-06-02T11:24:36Z</dcterms:created>
  <dcterms:modified xsi:type="dcterms:W3CDTF">2023-09-26T06:14:56Z</dcterms:modified>
  <cp:category/>
  <cp:contentStatus/>
</cp:coreProperties>
</file>