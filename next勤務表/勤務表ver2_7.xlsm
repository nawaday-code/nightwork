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{IX0056}勤務管理\test勤務表\"/>
    </mc:Choice>
  </mc:AlternateContent>
  <xr:revisionPtr revIDLastSave="0" documentId="13_ncr:1_{13282776-B779-49E8-850B-23EE79223231}" xr6:coauthVersionLast="36" xr6:coauthVersionMax="47" xr10:uidLastSave="{00000000-0000-0000-0000-000000000000}"/>
  <bookViews>
    <workbookView xWindow="5250" yWindow="630" windowWidth="13920" windowHeight="14985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state="hidden" r:id="rId5"/>
    <sheet name="スタッフ登録" sheetId="6" state="hidden" r:id="rId6"/>
    <sheet name="夜勤作成変数" sheetId="9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88" i="4" l="1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AJ17" i="9" l="1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</calcChain>
</file>

<file path=xl/sharedStrings.xml><?xml version="1.0" encoding="utf-8"?>
<sst xmlns="http://schemas.openxmlformats.org/spreadsheetml/2006/main" count="5226" uniqueCount="624">
  <si>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</si>
  <si>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</si>
  <si>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</si>
  <si>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</si>
  <si>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</si>
  <si>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</si>
  <si>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</si>
  <si>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</si>
  <si>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</si>
  <si>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</si>
  <si>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</si>
  <si>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</si>
  <si>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</si>
  <si>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</si>
  <si>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</si>
  <si>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</si>
  <si>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</si>
  <si>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</si>
  <si>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</si>
  <si>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</si>
  <si>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</si>
  <si>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</si>
  <si>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</si>
  <si>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</si>
  <si>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</si>
  <si>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</si>
  <si>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</si>
  <si>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</si>
  <si>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</si>
  <si>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</si>
  <si>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</si>
  <si>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</si>
  <si>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</si>
  <si>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</si>
  <si>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</si>
  <si>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</si>
  <si>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</si>
  <si>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</si>
  <si>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</si>
  <si>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</si>
  <si>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</si>
  <si>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</si>
  <si>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</si>
  <si>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</si>
  <si>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</si>
  <si>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</si>
  <si>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</si>
  <si>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</si>
  <si>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</si>
  <si>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</si>
  <si>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</si>
  <si>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</si>
  <si>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</si>
  <si>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</si>
  <si>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</si>
  <si>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</si>
  <si>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</si>
  <si>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</si>
  <si>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</si>
  <si>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</si>
  <si>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</si>
  <si>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</si>
  <si>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</si>
  <si>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</si>
  <si>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</si>
  <si>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</si>
  <si>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</si>
  <si>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</si>
  <si>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</si>
  <si>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</si>
  <si>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</si>
  <si>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</si>
  <si>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</si>
  <si>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</si>
  <si>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</si>
  <si>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</si>
  <si>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</si>
  <si>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</si>
  <si>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</si>
  <si>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</si>
  <si>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</si>
  <si>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</si>
  <si>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</si>
  <si>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</si>
  <si>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</si>
  <si>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</si>
  <si>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</si>
  <si>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</si>
  <si>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</si>
  <si>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</si>
  <si>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</si>
  <si>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</si>
  <si>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</si>
  <si>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</si>
  <si>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</si>
  <si>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</si>
  <si>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</si>
  <si>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</si>
  <si>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</si>
  <si>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</si>
  <si>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</si>
  <si>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</si>
  <si>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</si>
  <si>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</si>
  <si>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</si>
  <si>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</si>
  <si>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</si>
  <si>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</si>
  <si>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</si>
  <si>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</si>
  <si>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</si>
  <si>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</si>
  <si>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</si>
  <si>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</si>
  <si>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</si>
  <si>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</si>
  <si>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</si>
  <si>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</si>
  <si>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</si>
  <si>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</si>
  <si>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</si>
  <si>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</si>
  <si>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</si>
  <si>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</si>
  <si>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</si>
  <si>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</si>
  <si>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</si>
  <si>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</si>
  <si>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</si>
  <si>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</si>
  <si>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</si>
  <si>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</si>
  <si>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</si>
  <si>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</si>
  <si>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</si>
  <si>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</si>
  <si>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</si>
  <si>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</si>
  <si>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</si>
  <si>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</si>
  <si>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</si>
  <si>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</si>
  <si>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</si>
  <si>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</si>
  <si>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</si>
  <si>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</si>
  <si>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</si>
  <si>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</si>
  <si>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</si>
  <si>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</si>
  <si>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</si>
  <si>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</si>
  <si>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</si>
  <si>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</si>
  <si>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</si>
  <si>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</si>
  <si>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</si>
  <si>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</si>
  <si>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</si>
  <si>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</si>
  <si>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</si>
  <si>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</si>
  <si>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</si>
  <si>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</si>
  <si>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</si>
  <si>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</si>
  <si>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</si>
  <si>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</si>
  <si>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</si>
  <si>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</si>
  <si>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</si>
  <si>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</si>
  <si>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</si>
  <si>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</si>
  <si>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</si>
  <si>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</si>
  <si>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</si>
  <si>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</si>
  <si>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</si>
  <si>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</si>
  <si>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</si>
  <si>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</si>
  <si>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</si>
  <si>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</si>
  <si>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</si>
  <si>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</si>
  <si>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</si>
  <si>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</si>
  <si>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</si>
  <si>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</si>
  <si>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</si>
  <si>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</si>
  <si>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</si>
  <si>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</si>
  <si>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</si>
  <si>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</si>
  <si>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</si>
  <si>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</si>
  <si>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</si>
  <si>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医療安全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</si>
  <si>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</si>
  <si>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</si>
  <si>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</si>
  <si>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</si>
  <si>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</si>
  <si>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</si>
  <si>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</si>
  <si>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</si>
  <si>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</si>
  <si>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</si>
  <si>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</si>
  <si>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</si>
  <si>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</si>
  <si>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</si>
  <si>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</si>
  <si>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</si>
  <si>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</si>
  <si>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</si>
  <si>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</si>
  <si>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</si>
  <si>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</si>
  <si>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</si>
  <si>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</si>
  <si>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</si>
  <si>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</si>
  <si>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</si>
  <si>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</si>
  <si>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</si>
  <si>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</si>
  <si>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</si>
  <si>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</si>
  <si>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</si>
  <si>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</si>
  <si>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</si>
  <si>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</si>
  <si>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t>▲</t>
  </si>
  <si>
    <t>●</t>
  </si>
  <si>
    <t>★</t>
  </si>
  <si>
    <t>明</t>
  </si>
  <si>
    <t>C夜</t>
  </si>
  <si>
    <t>MG</t>
  </si>
  <si>
    <t>□</t>
  </si>
  <si>
    <t>0/0</t>
  </si>
  <si>
    <t>5/5</t>
  </si>
  <si>
    <t>5/0</t>
  </si>
  <si>
    <t>2/0</t>
  </si>
  <si>
    <t>0/6</t>
  </si>
  <si>
    <t>0/3</t>
  </si>
  <si>
    <t>0/4</t>
  </si>
  <si>
    <t>0/2</t>
  </si>
  <si>
    <t>0/8</t>
  </si>
  <si>
    <t>3/6</t>
  </si>
  <si>
    <t>0/5</t>
  </si>
  <si>
    <t>0/1</t>
  </si>
  <si>
    <t>6/6</t>
  </si>
  <si>
    <t>4/6</t>
  </si>
  <si>
    <t>3/0</t>
  </si>
  <si>
    <t>1/0</t>
  </si>
  <si>
    <t>8/0</t>
  </si>
  <si>
    <t>6/0</t>
  </si>
  <si>
    <t>4/0</t>
  </si>
  <si>
    <t>9/0</t>
  </si>
  <si>
    <t>7/0</t>
  </si>
  <si>
    <t>10/0</t>
  </si>
  <si>
    <t>0/9</t>
  </si>
  <si>
    <t>勤務設定人数</t>
  </si>
  <si>
    <t>dA</t>
  </si>
  <si>
    <t>dM</t>
  </si>
  <si>
    <t>dC</t>
  </si>
  <si>
    <t>dF</t>
  </si>
  <si>
    <t>nA</t>
  </si>
  <si>
    <t>nM</t>
  </si>
  <si>
    <t>nC</t>
  </si>
  <si>
    <t>夜勤明け</t>
  </si>
  <si>
    <t>nn</t>
  </si>
  <si>
    <t>モダリティスタッフ割合</t>
  </si>
  <si>
    <t>MT</t>
  </si>
  <si>
    <t>dW</t>
  </si>
  <si>
    <t>他勤</t>
  </si>
  <si>
    <t>eW</t>
  </si>
  <si>
    <t>do</t>
  </si>
  <si>
    <t>ho</t>
  </si>
  <si>
    <t>モダリティコアスタッフ</t>
  </si>
  <si>
    <t>モダリティ設定人数</t>
  </si>
  <si>
    <t>月</t>
  </si>
  <si>
    <t>火</t>
  </si>
  <si>
    <t>水</t>
  </si>
  <si>
    <t>木</t>
  </si>
  <si>
    <t>金</t>
  </si>
  <si>
    <t>土</t>
  </si>
  <si>
    <t>診療</t>
  </si>
  <si>
    <t>休診</t>
  </si>
  <si>
    <t>NS</t>
  </si>
  <si>
    <t>BT</t>
  </si>
  <si>
    <t>ν3</t>
  </si>
  <si>
    <t>DayOff</t>
  </si>
  <si>
    <t>Holiday</t>
  </si>
  <si>
    <t>Half</t>
  </si>
  <si>
    <t>所定労働時間</t>
  </si>
  <si>
    <t>κ</t>
  </si>
  <si>
    <t>連続勤務日数</t>
  </si>
  <si>
    <t>ι</t>
  </si>
  <si>
    <t>休日数</t>
  </si>
  <si>
    <t>μ</t>
  </si>
  <si>
    <t>2連休</t>
  </si>
  <si>
    <t>ν1</t>
  </si>
  <si>
    <t>3連休</t>
  </si>
  <si>
    <t>ν2</t>
  </si>
  <si>
    <t>4連休</t>
  </si>
  <si>
    <t>休診日の休日数</t>
  </si>
  <si>
    <t>ρ</t>
  </si>
  <si>
    <t>夜勤上限回数</t>
  </si>
  <si>
    <t>ε</t>
  </si>
  <si>
    <t>夜勤間隔1日</t>
  </si>
  <si>
    <t>λ1</t>
  </si>
  <si>
    <t>夜勤間隔2日</t>
  </si>
  <si>
    <t>λ2</t>
  </si>
  <si>
    <t>夜勤間隔3日</t>
  </si>
  <si>
    <t>λ3</t>
  </si>
  <si>
    <t>夜勤間隔4日</t>
  </si>
  <si>
    <t>λ4</t>
  </si>
  <si>
    <t>平均化係数</t>
  </si>
  <si>
    <t>λ5</t>
  </si>
  <si>
    <t>計算時間</t>
  </si>
  <si>
    <t>calc_time</t>
  </si>
  <si>
    <t>規定値</t>
  </si>
  <si>
    <t>設定値</t>
  </si>
  <si>
    <t>0/10</t>
  </si>
  <si>
    <t>1/6</t>
  </si>
  <si>
    <t>0/11</t>
  </si>
  <si>
    <t>2/6</t>
  </si>
  <si>
    <t>1/11</t>
  </si>
  <si>
    <t>16/62</t>
  </si>
  <si>
    <t>8/63</t>
  </si>
  <si>
    <t>20/55</t>
  </si>
  <si>
    <t>3/11</t>
  </si>
  <si>
    <t>4/61</t>
  </si>
  <si>
    <t>3/60</t>
  </si>
  <si>
    <t>4/60</t>
  </si>
  <si>
    <t>12/11</t>
  </si>
  <si>
    <t>10/61</t>
  </si>
  <si>
    <t>2/60</t>
  </si>
  <si>
    <t>3/61</t>
  </si>
  <si>
    <t>22/55</t>
  </si>
  <si>
    <t>6/60</t>
  </si>
  <si>
    <t>7/61</t>
  </si>
  <si>
    <t>8/60</t>
  </si>
  <si>
    <t>9/60</t>
  </si>
  <si>
    <t>必要人数の最大値は，73人です。また，設定人数のカウント対象となるモダリティは，「RT」「MR」「TV」「KS」「NM」「XP」「MG」「MT」「CT」「XO」「AG」「FR」です。</t>
  </si>
  <si>
    <t>M夜</t>
  </si>
  <si>
    <t>A夜</t>
  </si>
  <si>
    <t>設定できる最大人数は 73 人です。合計が 73 人以下となるように設定してください。</t>
    <phoneticPr fontId="1"/>
  </si>
  <si>
    <t>日勤の対象となる項目は「RT」「MR」「TV」「KS」「NM」「XP」「MG」「MT」「CT」「XO」「AG」「FR」「Half」です</t>
    <phoneticPr fontId="1"/>
  </si>
  <si>
    <t>「他勤」「休暇」は実際に割り当てられている人数を表示しています</t>
    <phoneticPr fontId="1"/>
  </si>
  <si>
    <t>勤務設定人数の初期化は 'Ctrl + Shift + A' です</t>
    <phoneticPr fontId="1"/>
  </si>
  <si>
    <t>このシートでは勤務設定人数の変更はできません！</t>
    <phoneticPr fontId="1"/>
  </si>
  <si>
    <t>設定できる最大人数は 73 人です。</t>
    <phoneticPr fontId="1"/>
  </si>
  <si>
    <t>勤務設定人数の項目で「出張(他勤)」「休暇」は実際に割り当てられている人数を表示しています</t>
    <phoneticPr fontId="1"/>
  </si>
  <si>
    <t>モダリティスタッフ割合の初期化は 'Ctrl + Shift + B' です</t>
    <phoneticPr fontId="1"/>
  </si>
  <si>
    <t>モダリティコアスタッフの初期化は 'Ctrl + Shift + G' です</t>
    <phoneticPr fontId="1"/>
  </si>
  <si>
    <t>4/66</t>
  </si>
  <si>
    <t>10/71</t>
  </si>
  <si>
    <t>5/59</t>
  </si>
  <si>
    <t>ON</t>
    <phoneticPr fontId="1"/>
  </si>
  <si>
    <t>035642</t>
    <phoneticPr fontId="1"/>
  </si>
  <si>
    <t>渡辺一廣</t>
    <phoneticPr fontId="1"/>
  </si>
  <si>
    <t>055236</t>
    <phoneticPr fontId="1"/>
  </si>
  <si>
    <t>戸高秀晴</t>
    <phoneticPr fontId="1"/>
  </si>
  <si>
    <t>059247</t>
    <phoneticPr fontId="1"/>
  </si>
  <si>
    <t>福井浩</t>
    <phoneticPr fontId="1"/>
  </si>
  <si>
    <t>076610</t>
    <phoneticPr fontId="1"/>
  </si>
  <si>
    <t>川嶋康裕</t>
    <phoneticPr fontId="1"/>
  </si>
  <si>
    <t>078321</t>
    <phoneticPr fontId="1"/>
  </si>
  <si>
    <t>池田秀</t>
    <phoneticPr fontId="1"/>
  </si>
  <si>
    <t>080-5689-5054</t>
    <phoneticPr fontId="1"/>
  </si>
  <si>
    <t>088853</t>
    <phoneticPr fontId="1"/>
  </si>
  <si>
    <t>飯塚芳弘</t>
    <phoneticPr fontId="1"/>
  </si>
  <si>
    <t>090-4369-9383</t>
    <phoneticPr fontId="1"/>
  </si>
  <si>
    <t>090668</t>
    <phoneticPr fontId="1"/>
  </si>
  <si>
    <t>笠原賢治</t>
    <phoneticPr fontId="1"/>
  </si>
  <si>
    <t>090670</t>
    <phoneticPr fontId="1"/>
  </si>
  <si>
    <t>高橋直紀</t>
    <phoneticPr fontId="1"/>
  </si>
  <si>
    <t>092942</t>
    <phoneticPr fontId="1"/>
  </si>
  <si>
    <t>諸星行男</t>
    <phoneticPr fontId="1"/>
  </si>
  <si>
    <t>080-5426-7283</t>
    <phoneticPr fontId="1"/>
  </si>
  <si>
    <t>109876</t>
    <phoneticPr fontId="1"/>
  </si>
  <si>
    <t>平田聡</t>
    <phoneticPr fontId="1"/>
  </si>
  <si>
    <t>090-7195-9821</t>
    <phoneticPr fontId="1"/>
  </si>
  <si>
    <t>111821</t>
    <phoneticPr fontId="1"/>
  </si>
  <si>
    <t>山下高史</t>
    <phoneticPr fontId="1"/>
  </si>
  <si>
    <t>090-1852-2698</t>
    <phoneticPr fontId="1"/>
  </si>
  <si>
    <t>113389</t>
    <phoneticPr fontId="1"/>
  </si>
  <si>
    <t>高橋正文</t>
    <phoneticPr fontId="1"/>
  </si>
  <si>
    <t>113426</t>
    <phoneticPr fontId="1"/>
  </si>
  <si>
    <t>堀江朋彦</t>
    <phoneticPr fontId="1"/>
  </si>
  <si>
    <t>113482</t>
    <phoneticPr fontId="1"/>
  </si>
  <si>
    <t>吉田国弘</t>
    <phoneticPr fontId="1"/>
  </si>
  <si>
    <t>090-8503-3141</t>
    <phoneticPr fontId="1"/>
  </si>
  <si>
    <t>120010</t>
    <phoneticPr fontId="1"/>
  </si>
  <si>
    <t>杉山雄一郎</t>
    <phoneticPr fontId="1"/>
  </si>
  <si>
    <t>日直のみ</t>
    <phoneticPr fontId="1"/>
  </si>
  <si>
    <t>OFF</t>
    <phoneticPr fontId="1"/>
  </si>
  <si>
    <t>123456</t>
    <phoneticPr fontId="1"/>
  </si>
  <si>
    <t>放射線ﾀﾛｳ</t>
    <phoneticPr fontId="1"/>
  </si>
  <si>
    <t>125383</t>
    <phoneticPr fontId="1"/>
  </si>
  <si>
    <t>板垣紀子</t>
    <phoneticPr fontId="1"/>
  </si>
  <si>
    <t>182210</t>
    <phoneticPr fontId="1"/>
  </si>
  <si>
    <t>富安恭子</t>
    <phoneticPr fontId="1"/>
  </si>
  <si>
    <t>090-4173-6458</t>
    <phoneticPr fontId="1"/>
  </si>
  <si>
    <t>182248</t>
    <phoneticPr fontId="1"/>
  </si>
  <si>
    <t>明石絵美</t>
    <phoneticPr fontId="1"/>
  </si>
  <si>
    <t>188966</t>
    <phoneticPr fontId="1"/>
  </si>
  <si>
    <t>奥村康裕</t>
    <phoneticPr fontId="1"/>
  </si>
  <si>
    <t>188994</t>
    <phoneticPr fontId="1"/>
  </si>
  <si>
    <t>勝沼泰</t>
    <phoneticPr fontId="1"/>
  </si>
  <si>
    <t>090-4438-1339</t>
    <phoneticPr fontId="1"/>
  </si>
  <si>
    <t>189014</t>
    <phoneticPr fontId="1"/>
  </si>
  <si>
    <t>神谷陽</t>
    <phoneticPr fontId="1"/>
  </si>
  <si>
    <t>189190</t>
    <phoneticPr fontId="1"/>
  </si>
  <si>
    <t>橋本亜樹生</t>
    <phoneticPr fontId="1"/>
  </si>
  <si>
    <t>090-3428-2913</t>
    <phoneticPr fontId="1"/>
  </si>
  <si>
    <t>236771</t>
    <phoneticPr fontId="1"/>
  </si>
  <si>
    <t>山本和幸</t>
    <phoneticPr fontId="1"/>
  </si>
  <si>
    <t>090-1761-6692</t>
    <phoneticPr fontId="1"/>
  </si>
  <si>
    <t>243011</t>
    <phoneticPr fontId="1"/>
  </si>
  <si>
    <t>粟田牧子</t>
    <phoneticPr fontId="1"/>
  </si>
  <si>
    <t>090-43632-5698</t>
    <phoneticPr fontId="1"/>
  </si>
  <si>
    <t>244514</t>
    <phoneticPr fontId="1"/>
  </si>
  <si>
    <t>上薗博史</t>
    <phoneticPr fontId="1"/>
  </si>
  <si>
    <t>090-6939-2211</t>
    <phoneticPr fontId="1"/>
  </si>
  <si>
    <t>245970</t>
    <phoneticPr fontId="1"/>
  </si>
  <si>
    <t>河方マミ</t>
    <phoneticPr fontId="1"/>
  </si>
  <si>
    <t>090-6149-0305</t>
    <phoneticPr fontId="1"/>
  </si>
  <si>
    <t>245995</t>
    <phoneticPr fontId="1"/>
  </si>
  <si>
    <t>杉山誠</t>
    <phoneticPr fontId="1"/>
  </si>
  <si>
    <t>090-2200-0212</t>
    <phoneticPr fontId="1"/>
  </si>
  <si>
    <t>246002</t>
    <phoneticPr fontId="1"/>
  </si>
  <si>
    <t>高野隼</t>
    <phoneticPr fontId="1"/>
  </si>
  <si>
    <t>090-5487-0753</t>
    <phoneticPr fontId="1"/>
  </si>
  <si>
    <t>246030</t>
    <phoneticPr fontId="1"/>
  </si>
  <si>
    <t>吉田亮一</t>
    <phoneticPr fontId="1"/>
  </si>
  <si>
    <t>090-4396-0357</t>
    <phoneticPr fontId="1"/>
  </si>
  <si>
    <t>252790</t>
    <phoneticPr fontId="1"/>
  </si>
  <si>
    <t>広木智之</t>
    <phoneticPr fontId="1"/>
  </si>
  <si>
    <t>257190</t>
    <phoneticPr fontId="1"/>
  </si>
  <si>
    <t>佐藤秀隆</t>
    <phoneticPr fontId="1"/>
  </si>
  <si>
    <t>090-4604-9165</t>
    <phoneticPr fontId="1"/>
  </si>
  <si>
    <t>260454</t>
    <phoneticPr fontId="1"/>
  </si>
  <si>
    <t>高野晋</t>
    <phoneticPr fontId="1"/>
  </si>
  <si>
    <t>090-7277-2572</t>
    <phoneticPr fontId="1"/>
  </si>
  <si>
    <t>260482</t>
    <phoneticPr fontId="1"/>
  </si>
  <si>
    <t>片山拓人</t>
    <phoneticPr fontId="1"/>
  </si>
  <si>
    <t>090-9100-6428</t>
    <phoneticPr fontId="1"/>
  </si>
  <si>
    <t>260586</t>
    <phoneticPr fontId="1"/>
  </si>
  <si>
    <t>菊地朋子</t>
    <phoneticPr fontId="1"/>
  </si>
  <si>
    <t>268658</t>
    <phoneticPr fontId="1"/>
  </si>
  <si>
    <t>清水俊太郎</t>
    <phoneticPr fontId="1"/>
  </si>
  <si>
    <t>090-2952-6797</t>
    <phoneticPr fontId="1"/>
  </si>
  <si>
    <t>272301</t>
    <phoneticPr fontId="1"/>
  </si>
  <si>
    <t>小田志穂美</t>
    <phoneticPr fontId="1"/>
  </si>
  <si>
    <t>080-5646-3098</t>
    <phoneticPr fontId="1"/>
  </si>
  <si>
    <t>272342</t>
    <phoneticPr fontId="1"/>
  </si>
  <si>
    <t>馬場嵩</t>
    <phoneticPr fontId="1"/>
  </si>
  <si>
    <t>090-8055-3727</t>
    <phoneticPr fontId="1"/>
  </si>
  <si>
    <t>272684</t>
    <phoneticPr fontId="1"/>
  </si>
  <si>
    <t>前平祥太</t>
    <phoneticPr fontId="1"/>
  </si>
  <si>
    <t>277765</t>
    <phoneticPr fontId="1"/>
  </si>
  <si>
    <t>本田裕司</t>
    <phoneticPr fontId="1"/>
  </si>
  <si>
    <t>090-7003-6204</t>
    <phoneticPr fontId="1"/>
  </si>
  <si>
    <t>278340</t>
    <phoneticPr fontId="1"/>
  </si>
  <si>
    <t>山下友里</t>
    <phoneticPr fontId="1"/>
  </si>
  <si>
    <t>高野→山下</t>
    <phoneticPr fontId="1"/>
  </si>
  <si>
    <t>278521</t>
    <phoneticPr fontId="1"/>
  </si>
  <si>
    <t>柳賢佑</t>
    <phoneticPr fontId="1"/>
  </si>
  <si>
    <t>080-1018-8059</t>
    <phoneticPr fontId="1"/>
  </si>
  <si>
    <t>278575</t>
    <phoneticPr fontId="1"/>
  </si>
  <si>
    <t>中村悠輝</t>
    <phoneticPr fontId="1"/>
  </si>
  <si>
    <t>080-5253-0146</t>
    <phoneticPr fontId="1"/>
  </si>
  <si>
    <t>286164</t>
    <phoneticPr fontId="1"/>
  </si>
  <si>
    <t>庄司有希</t>
    <phoneticPr fontId="1"/>
  </si>
  <si>
    <t>286794</t>
    <phoneticPr fontId="1"/>
  </si>
  <si>
    <t>西田真琴</t>
    <phoneticPr fontId="1"/>
  </si>
  <si>
    <t>090-3762-3901</t>
    <phoneticPr fontId="1"/>
  </si>
  <si>
    <t>293727</t>
    <phoneticPr fontId="1"/>
  </si>
  <si>
    <t>小久保翔吾</t>
    <phoneticPr fontId="1"/>
  </si>
  <si>
    <t>080-2094-4487</t>
    <phoneticPr fontId="1"/>
  </si>
  <si>
    <t>293730</t>
    <phoneticPr fontId="1"/>
  </si>
  <si>
    <t>木幡悠人</t>
    <phoneticPr fontId="1"/>
  </si>
  <si>
    <t>090-5327-7914</t>
    <phoneticPr fontId="1"/>
  </si>
  <si>
    <t>295691</t>
    <phoneticPr fontId="1"/>
  </si>
  <si>
    <t>今田奈津夫</t>
    <phoneticPr fontId="1"/>
  </si>
  <si>
    <t>080-2028-0711</t>
    <phoneticPr fontId="1"/>
  </si>
  <si>
    <t>295700</t>
    <phoneticPr fontId="1"/>
  </si>
  <si>
    <t>早坂公希</t>
    <phoneticPr fontId="1"/>
  </si>
  <si>
    <t>080-6046-8633</t>
    <phoneticPr fontId="1"/>
  </si>
  <si>
    <t>299122</t>
    <phoneticPr fontId="1"/>
  </si>
  <si>
    <t>久保龍太郎</t>
    <phoneticPr fontId="1"/>
  </si>
  <si>
    <t>299148</t>
    <phoneticPr fontId="1"/>
  </si>
  <si>
    <t>佐藤遼介</t>
    <phoneticPr fontId="1"/>
  </si>
  <si>
    <t>299163</t>
    <phoneticPr fontId="1"/>
  </si>
  <si>
    <t>西澤健吾</t>
    <phoneticPr fontId="1"/>
  </si>
  <si>
    <t>080-6789-3944</t>
    <phoneticPr fontId="1"/>
  </si>
  <si>
    <t>299189</t>
    <phoneticPr fontId="1"/>
  </si>
  <si>
    <t>吉川達哉</t>
    <phoneticPr fontId="1"/>
  </si>
  <si>
    <t>305030</t>
    <phoneticPr fontId="1"/>
  </si>
  <si>
    <t>會田直史</t>
    <phoneticPr fontId="1"/>
  </si>
  <si>
    <t>080-5576-0484</t>
    <phoneticPr fontId="1"/>
  </si>
  <si>
    <t>305435</t>
    <phoneticPr fontId="1"/>
  </si>
  <si>
    <t>森川友香</t>
    <phoneticPr fontId="1"/>
  </si>
  <si>
    <t>090-4320-4075</t>
    <phoneticPr fontId="1"/>
  </si>
  <si>
    <t>309120</t>
    <phoneticPr fontId="1"/>
  </si>
  <si>
    <t>福光幹也</t>
    <phoneticPr fontId="1"/>
  </si>
  <si>
    <t>土曜宿直のみ</t>
    <phoneticPr fontId="1"/>
  </si>
  <si>
    <t>315380</t>
    <phoneticPr fontId="1"/>
  </si>
  <si>
    <t>三浦佳帆里</t>
    <phoneticPr fontId="1"/>
  </si>
  <si>
    <t>090-3558-7002</t>
    <phoneticPr fontId="1"/>
  </si>
  <si>
    <t>315393</t>
    <phoneticPr fontId="1"/>
  </si>
  <si>
    <t>渡辺真悟</t>
    <phoneticPr fontId="1"/>
  </si>
  <si>
    <t>080-1224-7666</t>
    <phoneticPr fontId="1"/>
  </si>
  <si>
    <t>321140</t>
    <phoneticPr fontId="1"/>
  </si>
  <si>
    <t>塚本ひかり</t>
    <phoneticPr fontId="1"/>
  </si>
  <si>
    <t>321152</t>
    <phoneticPr fontId="1"/>
  </si>
  <si>
    <t>藤嶋啓介</t>
    <phoneticPr fontId="1"/>
  </si>
  <si>
    <t>090-2993-1906</t>
    <phoneticPr fontId="1"/>
  </si>
  <si>
    <t>321165</t>
    <phoneticPr fontId="1"/>
  </si>
  <si>
    <t>渡部勝浩</t>
    <phoneticPr fontId="1"/>
  </si>
  <si>
    <t>090-5784-7420</t>
    <phoneticPr fontId="1"/>
  </si>
  <si>
    <t>326430</t>
    <phoneticPr fontId="1"/>
  </si>
  <si>
    <t>太田帆南</t>
    <phoneticPr fontId="1"/>
  </si>
  <si>
    <t>090-9195-1790</t>
    <phoneticPr fontId="1"/>
  </si>
  <si>
    <t>326443</t>
    <phoneticPr fontId="1"/>
  </si>
  <si>
    <t>小林凜也</t>
    <phoneticPr fontId="1"/>
  </si>
  <si>
    <t>090-4844-0799</t>
    <phoneticPr fontId="1"/>
  </si>
  <si>
    <t>326469</t>
    <phoneticPr fontId="1"/>
  </si>
  <si>
    <t>清水目礼奈</t>
    <phoneticPr fontId="1"/>
  </si>
  <si>
    <t>090-9744-8587</t>
    <phoneticPr fontId="1"/>
  </si>
  <si>
    <t>326484</t>
    <phoneticPr fontId="1"/>
  </si>
  <si>
    <t>高見澤水穂</t>
    <phoneticPr fontId="1"/>
  </si>
  <si>
    <t>080-5144-8807</t>
    <phoneticPr fontId="1"/>
  </si>
  <si>
    <t>326497</t>
    <phoneticPr fontId="1"/>
  </si>
  <si>
    <t>森浩紀</t>
    <phoneticPr fontId="1"/>
  </si>
  <si>
    <t>080-4150-6450</t>
    <phoneticPr fontId="1"/>
  </si>
  <si>
    <t>332152</t>
    <phoneticPr fontId="1"/>
  </si>
  <si>
    <t>相曾莉茄</t>
    <phoneticPr fontId="1"/>
  </si>
  <si>
    <t>080-5290-6020</t>
    <phoneticPr fontId="1"/>
  </si>
  <si>
    <t>332165</t>
    <phoneticPr fontId="1"/>
  </si>
  <si>
    <t>沖野圭太</t>
    <phoneticPr fontId="1"/>
  </si>
  <si>
    <t>070-8545-1716</t>
    <phoneticPr fontId="1"/>
  </si>
  <si>
    <t>332178</t>
    <phoneticPr fontId="1"/>
  </si>
  <si>
    <t>小野寺紘哉</t>
    <phoneticPr fontId="1"/>
  </si>
  <si>
    <t>080-2585-6733</t>
    <phoneticPr fontId="1"/>
  </si>
  <si>
    <t>332193</t>
    <phoneticPr fontId="1"/>
  </si>
  <si>
    <t>名和勇樹</t>
    <phoneticPr fontId="1"/>
  </si>
  <si>
    <t>080-1653-5957</t>
    <phoneticPr fontId="1"/>
  </si>
  <si>
    <t>336646</t>
    <phoneticPr fontId="1"/>
  </si>
  <si>
    <t>古郡宙</t>
    <phoneticPr fontId="1"/>
  </si>
  <si>
    <t>080-6108-0640</t>
    <phoneticPr fontId="1"/>
  </si>
  <si>
    <t>338407</t>
    <phoneticPr fontId="1"/>
  </si>
  <si>
    <t>岩崎陸</t>
    <phoneticPr fontId="1"/>
  </si>
  <si>
    <t>080-2019-5716</t>
    <phoneticPr fontId="1"/>
  </si>
  <si>
    <t>338410</t>
    <phoneticPr fontId="1"/>
  </si>
  <si>
    <t>益子紗也香</t>
    <phoneticPr fontId="1"/>
  </si>
  <si>
    <t>080-8028-2745</t>
    <phoneticPr fontId="1"/>
  </si>
  <si>
    <t>338422</t>
    <phoneticPr fontId="1"/>
  </si>
  <si>
    <t>森遼太</t>
    <phoneticPr fontId="1"/>
  </si>
  <si>
    <t>090-6748-4075</t>
    <phoneticPr fontId="1"/>
  </si>
  <si>
    <t>188875</t>
    <phoneticPr fontId="1"/>
  </si>
  <si>
    <t>遠藤幸子</t>
    <phoneticPr fontId="1"/>
  </si>
  <si>
    <t>8:30～15:30</t>
    <phoneticPr fontId="1"/>
  </si>
  <si>
    <t>196869</t>
    <phoneticPr fontId="1"/>
  </si>
  <si>
    <t>長谷川理恵</t>
    <phoneticPr fontId="1"/>
  </si>
  <si>
    <t xml:space="preserve">月　8:30～16:00
火　8:30～15:30
水　8:30～15:00
木　8:30～15:00
金　8:30～16:00   </t>
    <phoneticPr fontId="1"/>
  </si>
  <si>
    <t>272355</t>
    <phoneticPr fontId="1"/>
  </si>
  <si>
    <t>因幡多恵子</t>
    <phoneticPr fontId="1"/>
  </si>
  <si>
    <t xml:space="preserve">8：00～15：30
</t>
    <phoneticPr fontId="1"/>
  </si>
  <si>
    <t>278760</t>
    <phoneticPr fontId="1"/>
  </si>
  <si>
    <t>川上知香恵</t>
    <phoneticPr fontId="1"/>
  </si>
  <si>
    <t>第1,3,5週
月～金　9:00～15:00
土　　　　8:00～14:00
第2,4週
月～金　9:00～16:00
5/29  9:00～15:00
5/30  9:00～15:30</t>
    <phoneticPr fontId="1"/>
  </si>
  <si>
    <t>R04793</t>
    <phoneticPr fontId="1"/>
  </si>
  <si>
    <t>小川智</t>
    <phoneticPr fontId="1"/>
  </si>
  <si>
    <t>旧職員番号038451</t>
    <phoneticPr fontId="1"/>
  </si>
  <si>
    <t>188981</t>
    <phoneticPr fontId="1"/>
  </si>
  <si>
    <t>梶原直</t>
    <phoneticPr fontId="1"/>
  </si>
  <si>
    <t>286662</t>
    <phoneticPr fontId="1"/>
  </si>
  <si>
    <t>高澤明日香</t>
    <phoneticPr fontId="1"/>
  </si>
  <si>
    <t>293742</t>
    <phoneticPr fontId="1"/>
  </si>
  <si>
    <t>砂村あゆみ</t>
    <phoneticPr fontId="1"/>
  </si>
  <si>
    <t>R04534</t>
    <phoneticPr fontId="1"/>
  </si>
  <si>
    <t>藤田昭</t>
    <phoneticPr fontId="1"/>
  </si>
  <si>
    <t>旧職員番号040513</t>
    <phoneticPr fontId="1"/>
  </si>
  <si>
    <t>R03530</t>
    <phoneticPr fontId="1"/>
  </si>
  <si>
    <t>斎藤昌代</t>
    <phoneticPr fontId="1"/>
  </si>
  <si>
    <t>000000</t>
    <phoneticPr fontId="1"/>
  </si>
  <si>
    <t>admin</t>
    <phoneticPr fontId="1"/>
  </si>
  <si>
    <t>067607</t>
    <phoneticPr fontId="1"/>
  </si>
  <si>
    <t>佐藤雄喜</t>
    <phoneticPr fontId="1"/>
  </si>
  <si>
    <t>236756</t>
    <phoneticPr fontId="1"/>
  </si>
  <si>
    <t>小寺祐子</t>
    <phoneticPr fontId="1"/>
  </si>
  <si>
    <t>252577</t>
    <phoneticPr fontId="1"/>
  </si>
  <si>
    <t>渋川周平</t>
    <phoneticPr fontId="1"/>
  </si>
  <si>
    <t>286675</t>
    <phoneticPr fontId="1"/>
  </si>
  <si>
    <t>早田憲治</t>
    <phoneticPr fontId="1"/>
  </si>
  <si>
    <t>293768</t>
    <phoneticPr fontId="1"/>
  </si>
  <si>
    <t>畠山浩気</t>
    <phoneticPr fontId="1"/>
  </si>
  <si>
    <t>299135</t>
    <phoneticPr fontId="1"/>
  </si>
  <si>
    <t>斎藤俊輝</t>
    <phoneticPr fontId="1"/>
  </si>
  <si>
    <t>299150</t>
    <phoneticPr fontId="1"/>
  </si>
  <si>
    <t>高木喜未</t>
    <phoneticPr fontId="1"/>
  </si>
  <si>
    <t>305043</t>
    <phoneticPr fontId="1"/>
  </si>
  <si>
    <t>斎藤美咲</t>
    <phoneticPr fontId="1"/>
  </si>
  <si>
    <t>309145</t>
    <phoneticPr fontId="1"/>
  </si>
  <si>
    <t>三浦祐希</t>
    <phoneticPr fontId="1"/>
  </si>
  <si>
    <t>332180</t>
    <phoneticPr fontId="1"/>
  </si>
  <si>
    <t>鈴木萌香</t>
    <phoneticPr fontId="1"/>
  </si>
  <si>
    <t>999999</t>
    <phoneticPr fontId="1"/>
  </si>
  <si>
    <t>東海太郎</t>
    <phoneticPr fontId="1"/>
  </si>
  <si>
    <t>特になし</t>
    <phoneticPr fontId="1"/>
  </si>
  <si>
    <t>R03958</t>
    <phoneticPr fontId="1"/>
  </si>
  <si>
    <t>梅本亨</t>
    <phoneticPr fontId="1"/>
  </si>
  <si>
    <t>R03959</t>
    <phoneticPr fontId="1"/>
  </si>
  <si>
    <t>畠山謙二</t>
    <phoneticPr fontId="1"/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</si>
  <si>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12/06(水)</t>
    </r>
    <r>
      <rPr>
        <sz val="11"/>
        <color theme="1"/>
        <rFont val="游ゴシック"/>
        <family val="2"/>
        <charset val="128"/>
        <scheme val="minor"/>
      </rPr>
      <t>です</t>
    </r>
  </si>
  <si>
    <t>医療被ばく</t>
  </si>
  <si>
    <t>放射線システム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</si>
</sst>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  <font>
      <b/>
      <sz val="11"/>
      <color rgb="FF08080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  <scheme val="minor"/>
    </font>
    <font>
      <b/>
      <i/>
      <sz val="11"/>
      <color indexed="1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AFFFF"/>
        <bgColor indexed="64"/>
      </patternFill>
    </fill>
  </fills>
  <borders count="54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/>
      <top style="thin">
        <color rgb="FF000000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thin">
        <color rgb="FF000000"/>
      </top>
      <bottom style="hair">
        <color rgb="FF292929"/>
      </bottom>
      <diagonal/>
    </border>
    <border>
      <left style="medium">
        <color rgb="FF292929"/>
      </left>
      <right/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/>
      <top style="hair">
        <color rgb="FF292929"/>
      </top>
      <bottom style="hair">
        <color rgb="FF292929"/>
      </bottom>
      <diagonal/>
    </border>
    <border>
      <left style="medium">
        <color rgb="FF292929"/>
      </left>
      <right/>
      <top style="hair">
        <color rgb="FF292929"/>
      </top>
      <bottom style="medium">
        <color rgb="FF292929"/>
      </bottom>
      <diagonal/>
    </border>
  </borders>
  <cellStyleXfs count="1">
    <xf numFmtId="0" fontId="0" fillId="0" borderId="0">
      <alignment vertical="center"/>
    </xf>
  </cellStyleXfs>
  <cellXfs count="3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6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6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6" borderId="9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6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2" borderId="17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5" borderId="8" xfId="0" applyNumberFormat="1" applyFill="1" applyBorder="1" applyAlignment="1">
      <alignment horizontal="center" vertical="center"/>
    </xf>
    <xf numFmtId="176" fontId="0" fillId="5" borderId="6" xfId="0" applyNumberForma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5" borderId="18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0" fillId="5" borderId="1" xfId="0" applyNumberFormat="1" applyFill="1" applyBorder="1" applyAlignment="1">
      <alignment horizontal="center" vertical="center"/>
    </xf>
    <xf numFmtId="49" fontId="0" fillId="5" borderId="3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5" borderId="12" xfId="0" applyNumberFormat="1" applyFill="1" applyBorder="1" applyAlignment="1">
      <alignment horizontal="center" vertical="center"/>
    </xf>
    <xf numFmtId="177" fontId="0" fillId="5" borderId="14" xfId="0" applyNumberFormat="1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7" xfId="0" applyNumberFormat="1" applyFill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 vertical="center"/>
    </xf>
    <xf numFmtId="49" fontId="0" fillId="5" borderId="21" xfId="0" applyNumberFormat="1" applyFill="1" applyBorder="1" applyAlignment="1">
      <alignment horizontal="center" vertical="center"/>
    </xf>
    <xf numFmtId="49" fontId="0" fillId="5" borderId="18" xfId="0" applyNumberFormat="1" applyFill="1" applyBorder="1" applyAlignment="1">
      <alignment horizontal="center" vertical="center"/>
    </xf>
    <xf numFmtId="49" fontId="0" fillId="5" borderId="20" xfId="0" applyNumberFormat="1" applyFill="1" applyBorder="1" applyAlignment="1">
      <alignment horizontal="center" vertical="center"/>
    </xf>
    <xf numFmtId="49" fontId="8" fillId="0" borderId="25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1" xfId="0" applyNumberFormat="1" applyFill="1" applyBorder="1" applyAlignment="1">
      <alignment horizontal="center" vertical="center"/>
    </xf>
    <xf numFmtId="176" fontId="0" fillId="0" borderId="9" xfId="0" applyNumberFormat="1" applyFill="1" applyBorder="1" applyAlignment="1">
      <alignment horizontal="center" vertical="center"/>
    </xf>
    <xf numFmtId="177" fontId="0" fillId="0" borderId="8" xfId="0" applyNumberFormat="1" applyFill="1" applyBorder="1" applyAlignment="1">
      <alignment horizontal="center" vertical="center"/>
    </xf>
    <xf numFmtId="176" fontId="0" fillId="0" borderId="6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8" fillId="0" borderId="13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53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0" fillId="0" borderId="28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49" fontId="10" fillId="0" borderId="9" xfId="0" applyNumberFormat="1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49" fontId="10" fillId="0" borderId="34" xfId="0" applyNumberFormat="1" applyFont="1" applyBorder="1" applyAlignment="1">
      <alignment horizontal="center" vertical="center"/>
    </xf>
    <xf numFmtId="49" fontId="10" fillId="0" borderId="10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49" fontId="10" fillId="0" borderId="35" xfId="0" applyNumberFormat="1" applyFont="1" applyBorder="1" applyAlignment="1">
      <alignment horizontal="center" vertical="center"/>
    </xf>
    <xf numFmtId="49" fontId="10" fillId="0" borderId="16" xfId="0" applyNumberFormat="1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49" fontId="10" fillId="0" borderId="36" xfId="0" applyNumberFormat="1" applyFont="1" applyBorder="1" applyAlignment="1">
      <alignment horizontal="center" vertical="center"/>
    </xf>
    <xf numFmtId="49" fontId="10" fillId="0" borderId="47" xfId="0" applyNumberFormat="1" applyFont="1" applyBorder="1" applyAlignment="1">
      <alignment horizontal="center" vertical="center"/>
    </xf>
    <xf numFmtId="49" fontId="10" fillId="0" borderId="48" xfId="0" applyNumberFormat="1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49" fontId="10" fillId="0" borderId="15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38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10" fillId="0" borderId="8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7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176" fontId="10" fillId="0" borderId="15" xfId="0" applyNumberFormat="1" applyFont="1" applyFill="1" applyBorder="1" applyAlignment="1">
      <alignment horizontal="center" vertical="center"/>
    </xf>
    <xf numFmtId="176" fontId="10" fillId="0" borderId="1" xfId="0" applyNumberFormat="1" applyFont="1" applyFill="1" applyBorder="1" applyAlignment="1">
      <alignment horizontal="center" vertical="center"/>
    </xf>
    <xf numFmtId="176" fontId="10" fillId="5" borderId="1" xfId="0" applyNumberFormat="1" applyFont="1" applyFill="1" applyBorder="1" applyAlignment="1">
      <alignment horizontal="center" vertical="center"/>
    </xf>
    <xf numFmtId="176" fontId="10" fillId="5" borderId="38" xfId="0" applyNumberFormat="1" applyFont="1" applyFill="1" applyBorder="1" applyAlignment="1">
      <alignment horizontal="center" vertical="center"/>
    </xf>
    <xf numFmtId="177" fontId="10" fillId="0" borderId="11" xfId="0" applyNumberFormat="1" applyFont="1" applyFill="1" applyBorder="1" applyAlignment="1">
      <alignment horizontal="center" vertical="center"/>
    </xf>
    <xf numFmtId="177" fontId="10" fillId="0" borderId="8" xfId="0" applyNumberFormat="1" applyFont="1" applyFill="1" applyBorder="1" applyAlignment="1">
      <alignment horizontal="center" vertical="center"/>
    </xf>
    <xf numFmtId="177" fontId="10" fillId="5" borderId="8" xfId="0" applyNumberFormat="1" applyFont="1" applyFill="1" applyBorder="1" applyAlignment="1">
      <alignment horizontal="center" vertical="center"/>
    </xf>
    <xf numFmtId="177" fontId="10" fillId="5" borderId="37" xfId="0" applyNumberFormat="1" applyFont="1" applyFill="1" applyBorder="1" applyAlignment="1">
      <alignment horizontal="center" vertical="center"/>
    </xf>
    <xf numFmtId="49" fontId="11" fillId="0" borderId="16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center" vertical="center"/>
    </xf>
    <xf numFmtId="49" fontId="11" fillId="0" borderId="36" xfId="0" applyNumberFormat="1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176" fontId="11" fillId="5" borderId="1" xfId="0" applyNumberFormat="1" applyFont="1" applyFill="1" applyBorder="1" applyAlignment="1">
      <alignment horizontal="center" vertical="center"/>
    </xf>
    <xf numFmtId="177" fontId="11" fillId="5" borderId="8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215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ont>
        <color rgb="FFFF0000"/>
      </font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38100</xdr:rowOff>
        </xdr:from>
        <xdr:to>
          <xdr:col>2</xdr:col>
          <xdr:colOff>800100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2</xdr:col>
          <xdr:colOff>419100</xdr:colOff>
          <xdr:row>2</xdr:row>
          <xdr:rowOff>123825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419100</xdr:rowOff>
        </xdr:from>
        <xdr:to>
          <xdr:col>2</xdr:col>
          <xdr:colOff>381000</xdr:colOff>
          <xdr:row>1</xdr:row>
          <xdr:rowOff>66675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276225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533400</xdr:colOff>
          <xdr:row>2</xdr:row>
          <xdr:rowOff>276225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47625</xdr:rowOff>
        </xdr:from>
        <xdr:to>
          <xdr:col>1</xdr:col>
          <xdr:colOff>114300</xdr:colOff>
          <xdr:row>1</xdr:row>
          <xdr:rowOff>200025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47625</xdr:rowOff>
        </xdr:from>
        <xdr:to>
          <xdr:col>2</xdr:col>
          <xdr:colOff>247650</xdr:colOff>
          <xdr:row>1</xdr:row>
          <xdr:rowOff>200025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47625</xdr:rowOff>
        </xdr:from>
        <xdr:to>
          <xdr:col>1</xdr:col>
          <xdr:colOff>885825</xdr:colOff>
          <xdr:row>1</xdr:row>
          <xdr:rowOff>190500</xdr:rowOff>
        </xdr:to>
        <xdr:sp macro="" textlink="">
          <xdr:nvSpPr>
            <xdr:cNvPr id="9217" name="CalendarBox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47625</xdr:rowOff>
        </xdr:from>
        <xdr:to>
          <xdr:col>1</xdr:col>
          <xdr:colOff>1162050</xdr:colOff>
          <xdr:row>3</xdr:row>
          <xdr:rowOff>104775</xdr:rowOff>
        </xdr:to>
        <xdr:sp macro="" textlink="">
          <xdr:nvSpPr>
            <xdr:cNvPr id="9218" name="Pulp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B103"/>
  <sheetViews>
    <sheetView tabSelected="1" zoomScale="80" zoomScaleNormal="80" workbookViewId="0">
      <pane xSplit="4" ySplit="4" topLeftCell="E5" activePane="bottomRight" state="frozenSplit"/>
      <selection pane="topRight" activeCell="E1" sqref="E1"/>
      <selection pane="bottomLeft" activeCell="A9" sqref="A9"/>
      <selection pane="bottomRight" activeCell="H14" sqref="H14"/>
    </sheetView>
  </sheetViews>
  <sheetFormatPr defaultColWidth="8.625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37" width="6.625" style="1" customWidth="1"/>
    <col min="38" max="54" width="5.125" style="1" customWidth="1"/>
    <col min="55" max="16384" width="8.625" style="1"/>
  </cols>
  <sheetData>
    <row r="1" spans="1:54" ht="20.100000000000001" customHeight="1" thickBot="1" x14ac:dyDescent="0.45">
      <c r="A1" s="114" t="s">
        <v>621</v>
      </c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</row>
    <row r="2" spans="1:54" ht="20.100000000000001" customHeight="1" thickBot="1" x14ac:dyDescent="0.45">
      <c r="E2" s="173">
        <v>-3</v>
      </c>
      <c r="F2" s="115">
        <v>-3</v>
      </c>
      <c r="G2" s="115">
        <v>-5</v>
      </c>
      <c r="H2" s="115">
        <v>-1</v>
      </c>
      <c r="I2" s="115">
        <v>-4</v>
      </c>
      <c r="J2" s="115">
        <v>-4</v>
      </c>
      <c r="K2" s="115">
        <v>-3</v>
      </c>
      <c r="L2" s="115">
        <v>-4</v>
      </c>
      <c r="M2" s="115">
        <v>-4</v>
      </c>
      <c r="N2" s="115">
        <v>-1</v>
      </c>
      <c r="O2" s="115">
        <v>-1</v>
      </c>
      <c r="P2" s="115">
        <v>-10</v>
      </c>
      <c r="Q2" s="115">
        <v>-5</v>
      </c>
      <c r="R2" s="115">
        <v>-2</v>
      </c>
      <c r="S2" s="115">
        <v>-2</v>
      </c>
      <c r="T2" s="115">
        <v>-2</v>
      </c>
      <c r="U2" s="115">
        <v>-6</v>
      </c>
      <c r="V2" s="115">
        <v>0</v>
      </c>
      <c r="W2" s="115">
        <v>-4</v>
      </c>
      <c r="X2" s="115">
        <v>-3</v>
      </c>
      <c r="Y2" s="115">
        <v>-3</v>
      </c>
      <c r="Z2" s="115">
        <v>-3</v>
      </c>
      <c r="AA2" s="115">
        <v>-4</v>
      </c>
      <c r="AB2" s="115">
        <v>0</v>
      </c>
      <c r="AC2" s="115">
        <v>0</v>
      </c>
      <c r="AD2" s="115">
        <v>-9</v>
      </c>
      <c r="AE2" s="115">
        <v>-7</v>
      </c>
      <c r="AF2" s="115">
        <v>-8</v>
      </c>
      <c r="AG2" s="115">
        <v>-9</v>
      </c>
      <c r="AH2" s="115">
        <v>0</v>
      </c>
      <c r="AI2" s="115">
        <v>0</v>
      </c>
      <c r="AJ2" s="115">
        <v>0</v>
      </c>
      <c r="AK2" s="172">
        <v>0</v>
      </c>
    </row>
    <row r="3" spans="1:54" ht="20.100000000000001" customHeight="1" x14ac:dyDescent="0.4">
      <c r="E3" s="295">
        <v>45260</v>
      </c>
      <c r="F3" s="296">
        <v>45261</v>
      </c>
      <c r="G3" s="296">
        <v>45262</v>
      </c>
      <c r="H3" s="309">
        <v>45263</v>
      </c>
      <c r="I3" s="296">
        <v>45264</v>
      </c>
      <c r="J3" s="296">
        <v>45265</v>
      </c>
      <c r="K3" s="296">
        <v>45266</v>
      </c>
      <c r="L3" s="296">
        <v>45267</v>
      </c>
      <c r="M3" s="296">
        <v>45268</v>
      </c>
      <c r="N3" s="297">
        <v>45269</v>
      </c>
      <c r="O3" s="297">
        <v>45270</v>
      </c>
      <c r="P3" s="296">
        <v>45271</v>
      </c>
      <c r="Q3" s="296">
        <v>45272</v>
      </c>
      <c r="R3" s="296">
        <v>45273</v>
      </c>
      <c r="S3" s="296">
        <v>45274</v>
      </c>
      <c r="T3" s="296">
        <v>45275</v>
      </c>
      <c r="U3" s="296">
        <v>45276</v>
      </c>
      <c r="V3" s="297">
        <v>45277</v>
      </c>
      <c r="W3" s="296">
        <v>45278</v>
      </c>
      <c r="X3" s="296">
        <v>45279</v>
      </c>
      <c r="Y3" s="296">
        <v>45280</v>
      </c>
      <c r="Z3" s="296">
        <v>45281</v>
      </c>
      <c r="AA3" s="296">
        <v>45282</v>
      </c>
      <c r="AB3" s="297">
        <v>45283</v>
      </c>
      <c r="AC3" s="297">
        <v>45284</v>
      </c>
      <c r="AD3" s="296">
        <v>45285</v>
      </c>
      <c r="AE3" s="296">
        <v>45286</v>
      </c>
      <c r="AF3" s="296">
        <v>45287</v>
      </c>
      <c r="AG3" s="296">
        <v>45288</v>
      </c>
      <c r="AH3" s="297">
        <v>45289</v>
      </c>
      <c r="AI3" s="297">
        <v>45290</v>
      </c>
      <c r="AJ3" s="297">
        <v>45291</v>
      </c>
      <c r="AK3" s="298">
        <v>45292</v>
      </c>
      <c r="AL3" s="249" t="s">
        <v>233</v>
      </c>
      <c r="AM3" s="253"/>
      <c r="AN3" s="253"/>
      <c r="AO3" s="253"/>
      <c r="AP3" s="253"/>
      <c r="AQ3" s="253"/>
      <c r="AR3" s="253"/>
      <c r="AS3" s="254"/>
      <c r="AT3" s="249" t="s">
        <v>234</v>
      </c>
      <c r="AU3" s="253"/>
      <c r="AV3" s="253"/>
      <c r="AW3" s="253"/>
      <c r="AX3" s="253"/>
      <c r="AY3" s="253"/>
      <c r="AZ3" s="253"/>
      <c r="BA3" s="254"/>
      <c r="BB3" s="251" t="s">
        <v>231</v>
      </c>
    </row>
    <row r="4" spans="1:54" ht="20.100000000000001" customHeight="1" thickBot="1" x14ac:dyDescent="0.45">
      <c r="E4" s="299">
        <v>45260</v>
      </c>
      <c r="F4" s="300">
        <v>45261</v>
      </c>
      <c r="G4" s="300">
        <v>45262</v>
      </c>
      <c r="H4" s="310">
        <v>45263</v>
      </c>
      <c r="I4" s="300">
        <v>45264</v>
      </c>
      <c r="J4" s="300">
        <v>45265</v>
      </c>
      <c r="K4" s="300">
        <v>45266</v>
      </c>
      <c r="L4" s="300">
        <v>45267</v>
      </c>
      <c r="M4" s="300">
        <v>45268</v>
      </c>
      <c r="N4" s="301">
        <v>45269</v>
      </c>
      <c r="O4" s="301">
        <v>45270</v>
      </c>
      <c r="P4" s="300">
        <v>45271</v>
      </c>
      <c r="Q4" s="300">
        <v>45272</v>
      </c>
      <c r="R4" s="300">
        <v>45273</v>
      </c>
      <c r="S4" s="300">
        <v>45274</v>
      </c>
      <c r="T4" s="300">
        <v>45275</v>
      </c>
      <c r="U4" s="300">
        <v>45276</v>
      </c>
      <c r="V4" s="301">
        <v>45277</v>
      </c>
      <c r="W4" s="300">
        <v>45278</v>
      </c>
      <c r="X4" s="300">
        <v>45279</v>
      </c>
      <c r="Y4" s="300">
        <v>45280</v>
      </c>
      <c r="Z4" s="300">
        <v>45281</v>
      </c>
      <c r="AA4" s="300">
        <v>45282</v>
      </c>
      <c r="AB4" s="301">
        <v>45283</v>
      </c>
      <c r="AC4" s="301">
        <v>45284</v>
      </c>
      <c r="AD4" s="300">
        <v>45285</v>
      </c>
      <c r="AE4" s="300">
        <v>45286</v>
      </c>
      <c r="AF4" s="300">
        <v>45287</v>
      </c>
      <c r="AG4" s="300">
        <v>45288</v>
      </c>
      <c r="AH4" s="301">
        <v>45289</v>
      </c>
      <c r="AI4" s="301">
        <v>45290</v>
      </c>
      <c r="AJ4" s="301">
        <v>45291</v>
      </c>
      <c r="AK4" s="302">
        <v>45292</v>
      </c>
      <c r="AL4" s="236" t="s">
        <v>223</v>
      </c>
      <c r="AM4" s="16" t="s">
        <v>224</v>
      </c>
      <c r="AN4" s="16" t="s">
        <v>225</v>
      </c>
      <c r="AO4" s="16" t="s">
        <v>226</v>
      </c>
      <c r="AP4" s="16" t="s">
        <v>227</v>
      </c>
      <c r="AQ4" s="16" t="s">
        <v>228</v>
      </c>
      <c r="AR4" s="16" t="s">
        <v>229</v>
      </c>
      <c r="AS4" s="116" t="s">
        <v>230</v>
      </c>
      <c r="AT4" s="236" t="s">
        <v>223</v>
      </c>
      <c r="AU4" s="16" t="s">
        <v>224</v>
      </c>
      <c r="AV4" s="16" t="s">
        <v>225</v>
      </c>
      <c r="AW4" s="16" t="s">
        <v>226</v>
      </c>
      <c r="AX4" s="16" t="s">
        <v>227</v>
      </c>
      <c r="AY4" s="16" t="s">
        <v>228</v>
      </c>
      <c r="AZ4" s="16" t="s">
        <v>229</v>
      </c>
      <c r="BA4" s="116" t="s">
        <v>230</v>
      </c>
      <c r="BB4" s="252"/>
    </row>
    <row r="5" spans="1:54" ht="20.100000000000001" customHeight="1" x14ac:dyDescent="0.4">
      <c r="A5" s="262">
        <v>4</v>
      </c>
      <c r="B5" s="263" t="s">
        <v>36</v>
      </c>
      <c r="C5" s="263" t="s">
        <v>37</v>
      </c>
      <c r="D5" s="264" t="s">
        <v>38</v>
      </c>
      <c r="E5" s="12"/>
      <c r="F5" s="2"/>
      <c r="G5" s="2" t="s">
        <v>38</v>
      </c>
      <c r="H5" s="2"/>
      <c r="I5" s="2"/>
      <c r="J5" s="2"/>
      <c r="K5" s="2"/>
      <c r="L5" s="2"/>
      <c r="M5" s="2"/>
      <c r="N5" s="2" t="s">
        <v>223</v>
      </c>
      <c r="O5" s="2"/>
      <c r="P5" s="2"/>
      <c r="Q5" s="2"/>
      <c r="R5" s="2"/>
      <c r="S5" s="2"/>
      <c r="T5" s="2"/>
      <c r="U5" s="2" t="s">
        <v>38</v>
      </c>
      <c r="V5" s="2"/>
      <c r="W5" s="2"/>
      <c r="X5" s="2"/>
      <c r="Y5" s="2"/>
      <c r="Z5" s="2"/>
      <c r="AA5" s="2"/>
      <c r="AB5" s="2" t="s">
        <v>223</v>
      </c>
      <c r="AC5" s="2"/>
      <c r="AD5" s="2"/>
      <c r="AE5" s="2"/>
      <c r="AF5" s="2"/>
      <c r="AG5" s="2"/>
      <c r="AH5" s="2"/>
      <c r="AI5" s="2"/>
      <c r="AJ5" s="2"/>
      <c r="AK5" s="117"/>
      <c r="AL5" s="280">
        <v>2</v>
      </c>
      <c r="AM5" s="281">
        <v>0</v>
      </c>
      <c r="AN5" s="281">
        <v>0</v>
      </c>
      <c r="AO5" s="281">
        <v>0</v>
      </c>
      <c r="AP5" s="281">
        <v>0</v>
      </c>
      <c r="AQ5" s="281">
        <v>0</v>
      </c>
      <c r="AR5" s="281">
        <v>0</v>
      </c>
      <c r="AS5" s="282">
        <v>0</v>
      </c>
      <c r="AT5" s="280">
        <v>64</v>
      </c>
      <c r="AU5" s="281">
        <v>9</v>
      </c>
      <c r="AV5" s="281">
        <v>6</v>
      </c>
      <c r="AW5" s="281">
        <v>12</v>
      </c>
      <c r="AX5" s="281">
        <v>0</v>
      </c>
      <c r="AY5" s="281">
        <v>0</v>
      </c>
      <c r="AZ5" s="281">
        <v>0</v>
      </c>
      <c r="BA5" s="282">
        <v>0</v>
      </c>
      <c r="BB5" s="120">
        <v>28</v>
      </c>
    </row>
    <row r="6" spans="1:54" ht="20.100000000000001" customHeight="1" x14ac:dyDescent="0.4">
      <c r="A6" s="265">
        <v>20</v>
      </c>
      <c r="B6" s="266" t="s">
        <v>39</v>
      </c>
      <c r="C6" s="266" t="s">
        <v>40</v>
      </c>
      <c r="D6" s="267" t="s">
        <v>38</v>
      </c>
      <c r="E6" s="9" t="s">
        <v>228</v>
      </c>
      <c r="F6" s="3" t="s">
        <v>224</v>
      </c>
      <c r="G6" s="3" t="s">
        <v>223</v>
      </c>
      <c r="H6" s="3" t="s">
        <v>38</v>
      </c>
      <c r="I6" s="3"/>
      <c r="J6" s="3"/>
      <c r="K6" s="3"/>
      <c r="L6" s="3"/>
      <c r="M6" s="3"/>
      <c r="N6" s="3" t="s">
        <v>38</v>
      </c>
      <c r="O6" s="3"/>
      <c r="P6" s="3" t="s">
        <v>226</v>
      </c>
      <c r="Q6" s="3"/>
      <c r="R6" s="3"/>
      <c r="S6" s="3"/>
      <c r="T6" s="3"/>
      <c r="U6" s="3" t="s">
        <v>223</v>
      </c>
      <c r="V6" s="3"/>
      <c r="W6" s="3"/>
      <c r="X6" s="3"/>
      <c r="Y6" s="3"/>
      <c r="Z6" s="3"/>
      <c r="AA6" s="3"/>
      <c r="AB6" s="3" t="s">
        <v>38</v>
      </c>
      <c r="AC6" s="3"/>
      <c r="AD6" s="3"/>
      <c r="AE6" s="3"/>
      <c r="AF6" s="3"/>
      <c r="AG6" s="3" t="s">
        <v>226</v>
      </c>
      <c r="AH6" s="3"/>
      <c r="AI6" s="3"/>
      <c r="AJ6" s="3"/>
      <c r="AK6" s="118"/>
      <c r="AL6" s="283">
        <v>2</v>
      </c>
      <c r="AM6" s="284">
        <v>1</v>
      </c>
      <c r="AN6" s="284">
        <v>0</v>
      </c>
      <c r="AO6" s="284">
        <v>2</v>
      </c>
      <c r="AP6" s="284">
        <v>0</v>
      </c>
      <c r="AQ6" s="284">
        <v>0</v>
      </c>
      <c r="AR6" s="284">
        <v>0</v>
      </c>
      <c r="AS6" s="285">
        <v>0</v>
      </c>
      <c r="AT6" s="283">
        <v>63</v>
      </c>
      <c r="AU6" s="284">
        <v>6</v>
      </c>
      <c r="AV6" s="284">
        <v>5</v>
      </c>
      <c r="AW6" s="284">
        <v>12</v>
      </c>
      <c r="AX6" s="284">
        <v>0</v>
      </c>
      <c r="AY6" s="284">
        <v>1</v>
      </c>
      <c r="AZ6" s="284">
        <v>0</v>
      </c>
      <c r="BA6" s="285">
        <v>0</v>
      </c>
      <c r="BB6" s="37">
        <v>31.5</v>
      </c>
    </row>
    <row r="7" spans="1:54" ht="20.100000000000001" customHeight="1" x14ac:dyDescent="0.4">
      <c r="A7" s="265">
        <v>32</v>
      </c>
      <c r="B7" s="266" t="s">
        <v>41</v>
      </c>
      <c r="C7" s="266" t="s">
        <v>42</v>
      </c>
      <c r="D7" s="267" t="s">
        <v>38</v>
      </c>
      <c r="E7" s="9"/>
      <c r="F7" s="3"/>
      <c r="G7" s="3" t="s">
        <v>223</v>
      </c>
      <c r="H7" s="3"/>
      <c r="I7" s="3"/>
      <c r="J7" s="3"/>
      <c r="K7" s="3"/>
      <c r="L7" s="3"/>
      <c r="M7" s="3"/>
      <c r="N7" s="3" t="s">
        <v>38</v>
      </c>
      <c r="O7" s="3"/>
      <c r="P7" s="3"/>
      <c r="Q7" s="3" t="s">
        <v>32</v>
      </c>
      <c r="R7" s="3"/>
      <c r="S7" s="3"/>
      <c r="T7" s="3"/>
      <c r="U7" s="3" t="s">
        <v>38</v>
      </c>
      <c r="V7" s="3"/>
      <c r="W7" s="3"/>
      <c r="X7" s="3"/>
      <c r="Y7" s="3"/>
      <c r="Z7" s="3" t="s">
        <v>228</v>
      </c>
      <c r="AA7" s="3"/>
      <c r="AB7" s="3" t="s">
        <v>223</v>
      </c>
      <c r="AC7" s="3"/>
      <c r="AD7" s="3"/>
      <c r="AE7" s="3"/>
      <c r="AF7" s="3"/>
      <c r="AG7" s="3"/>
      <c r="AH7" s="3"/>
      <c r="AI7" s="3"/>
      <c r="AJ7" s="3"/>
      <c r="AK7" s="118"/>
      <c r="AL7" s="283">
        <v>2</v>
      </c>
      <c r="AM7" s="284">
        <v>0</v>
      </c>
      <c r="AN7" s="284">
        <v>0</v>
      </c>
      <c r="AO7" s="284">
        <v>0</v>
      </c>
      <c r="AP7" s="284">
        <v>0</v>
      </c>
      <c r="AQ7" s="284">
        <v>1</v>
      </c>
      <c r="AR7" s="284">
        <v>0</v>
      </c>
      <c r="AS7" s="285">
        <v>0</v>
      </c>
      <c r="AT7" s="283">
        <v>63</v>
      </c>
      <c r="AU7" s="284">
        <v>11</v>
      </c>
      <c r="AV7" s="284">
        <v>2</v>
      </c>
      <c r="AW7" s="284">
        <v>12</v>
      </c>
      <c r="AX7" s="284">
        <v>0</v>
      </c>
      <c r="AY7" s="284">
        <v>3</v>
      </c>
      <c r="AZ7" s="284">
        <v>0</v>
      </c>
      <c r="BA7" s="285">
        <v>0</v>
      </c>
      <c r="BB7" s="37">
        <v>28</v>
      </c>
    </row>
    <row r="8" spans="1:54" ht="20.100000000000001" customHeight="1" x14ac:dyDescent="0.4">
      <c r="A8" s="265">
        <v>36</v>
      </c>
      <c r="B8" s="266" t="s">
        <v>43</v>
      </c>
      <c r="C8" s="266" t="s">
        <v>44</v>
      </c>
      <c r="D8" s="267" t="s">
        <v>38</v>
      </c>
      <c r="E8" s="9"/>
      <c r="F8" s="3"/>
      <c r="G8" s="3" t="s">
        <v>38</v>
      </c>
      <c r="H8" s="3"/>
      <c r="I8" s="3"/>
      <c r="J8" s="3"/>
      <c r="K8" s="3"/>
      <c r="L8" s="3"/>
      <c r="M8" s="3"/>
      <c r="N8" s="3" t="s">
        <v>223</v>
      </c>
      <c r="O8" s="3" t="s">
        <v>32</v>
      </c>
      <c r="P8" s="3" t="s">
        <v>226</v>
      </c>
      <c r="Q8" s="3" t="s">
        <v>226</v>
      </c>
      <c r="R8" s="3" t="s">
        <v>226</v>
      </c>
      <c r="S8" s="3" t="s">
        <v>226</v>
      </c>
      <c r="T8" s="3" t="s">
        <v>226</v>
      </c>
      <c r="U8" s="3" t="s">
        <v>223</v>
      </c>
      <c r="V8" s="3"/>
      <c r="W8" s="3"/>
      <c r="X8" s="3"/>
      <c r="Y8" s="3"/>
      <c r="Z8" s="3"/>
      <c r="AA8" s="3"/>
      <c r="AB8" s="3" t="s">
        <v>38</v>
      </c>
      <c r="AC8" s="3"/>
      <c r="AD8" s="3"/>
      <c r="AE8" s="3"/>
      <c r="AF8" s="3"/>
      <c r="AG8" s="3"/>
      <c r="AH8" s="3"/>
      <c r="AI8" s="3"/>
      <c r="AJ8" s="3"/>
      <c r="AK8" s="118"/>
      <c r="AL8" s="283">
        <v>2</v>
      </c>
      <c r="AM8" s="284">
        <v>0</v>
      </c>
      <c r="AN8" s="284">
        <v>0</v>
      </c>
      <c r="AO8" s="284">
        <v>5</v>
      </c>
      <c r="AP8" s="284">
        <v>0</v>
      </c>
      <c r="AQ8" s="284">
        <v>0</v>
      </c>
      <c r="AR8" s="284">
        <v>0</v>
      </c>
      <c r="AS8" s="285">
        <v>0</v>
      </c>
      <c r="AT8" s="283">
        <v>63</v>
      </c>
      <c r="AU8" s="284">
        <v>5</v>
      </c>
      <c r="AV8" s="284">
        <v>3</v>
      </c>
      <c r="AW8" s="284">
        <v>12</v>
      </c>
      <c r="AX8" s="284">
        <v>0</v>
      </c>
      <c r="AY8" s="284">
        <v>0</v>
      </c>
      <c r="AZ8" s="284">
        <v>0</v>
      </c>
      <c r="BA8" s="285">
        <v>0</v>
      </c>
      <c r="BB8" s="37">
        <v>33.5</v>
      </c>
    </row>
    <row r="9" spans="1:54" ht="20.100000000000001" customHeight="1" x14ac:dyDescent="0.4">
      <c r="A9" s="268">
        <v>41</v>
      </c>
      <c r="B9" s="269" t="s">
        <v>45</v>
      </c>
      <c r="C9" s="269" t="s">
        <v>46</v>
      </c>
      <c r="D9" s="270" t="s">
        <v>38</v>
      </c>
      <c r="E9" s="13"/>
      <c r="F9" s="4"/>
      <c r="G9" s="4" t="s">
        <v>38</v>
      </c>
      <c r="H9" s="4"/>
      <c r="I9" s="4"/>
      <c r="J9" s="4"/>
      <c r="K9" s="4"/>
      <c r="L9" s="4"/>
      <c r="M9" s="4"/>
      <c r="N9" s="4" t="s">
        <v>38</v>
      </c>
      <c r="O9" s="4"/>
      <c r="P9" s="4"/>
      <c r="Q9" s="4"/>
      <c r="R9" s="4"/>
      <c r="S9" s="4"/>
      <c r="T9" s="4"/>
      <c r="U9" s="4" t="s">
        <v>223</v>
      </c>
      <c r="V9" s="4"/>
      <c r="W9" s="4"/>
      <c r="X9" s="4"/>
      <c r="Y9" s="4" t="s">
        <v>226</v>
      </c>
      <c r="Z9" s="4" t="s">
        <v>226</v>
      </c>
      <c r="AA9" s="4" t="s">
        <v>226</v>
      </c>
      <c r="AB9" s="4" t="s">
        <v>223</v>
      </c>
      <c r="AC9" s="4" t="s">
        <v>32</v>
      </c>
      <c r="AD9" s="4" t="s">
        <v>226</v>
      </c>
      <c r="AE9" s="4" t="s">
        <v>226</v>
      </c>
      <c r="AF9" s="4" t="s">
        <v>226</v>
      </c>
      <c r="AG9" s="4" t="s">
        <v>226</v>
      </c>
      <c r="AH9" s="4" t="s">
        <v>32</v>
      </c>
      <c r="AI9" s="4" t="s">
        <v>32</v>
      </c>
      <c r="AJ9" s="4" t="s">
        <v>32</v>
      </c>
      <c r="AK9" s="119"/>
      <c r="AL9" s="286">
        <v>2</v>
      </c>
      <c r="AM9" s="287">
        <v>0</v>
      </c>
      <c r="AN9" s="287">
        <v>0</v>
      </c>
      <c r="AO9" s="287">
        <v>7</v>
      </c>
      <c r="AP9" s="287">
        <v>0</v>
      </c>
      <c r="AQ9" s="287">
        <v>0</v>
      </c>
      <c r="AR9" s="287">
        <v>0</v>
      </c>
      <c r="AS9" s="288">
        <v>0</v>
      </c>
      <c r="AT9" s="286">
        <v>63</v>
      </c>
      <c r="AU9" s="287">
        <v>7</v>
      </c>
      <c r="AV9" s="287">
        <v>6</v>
      </c>
      <c r="AW9" s="287">
        <v>12</v>
      </c>
      <c r="AX9" s="287">
        <v>0</v>
      </c>
      <c r="AY9" s="287">
        <v>1</v>
      </c>
      <c r="AZ9" s="287">
        <v>0</v>
      </c>
      <c r="BA9" s="288">
        <v>0</v>
      </c>
      <c r="BB9" s="121">
        <v>30</v>
      </c>
    </row>
    <row r="10" spans="1:54" ht="20.100000000000001" customHeight="1" x14ac:dyDescent="0.4">
      <c r="A10" s="271">
        <v>43</v>
      </c>
      <c r="B10" s="272" t="s">
        <v>47</v>
      </c>
      <c r="C10" s="272" t="s">
        <v>48</v>
      </c>
      <c r="D10" s="273" t="s">
        <v>38</v>
      </c>
      <c r="E10" s="124"/>
      <c r="F10" s="125"/>
      <c r="G10" s="125" t="s">
        <v>38</v>
      </c>
      <c r="H10" s="125"/>
      <c r="I10" s="125"/>
      <c r="J10" s="125"/>
      <c r="K10" s="125"/>
      <c r="L10" s="125"/>
      <c r="M10" s="125"/>
      <c r="N10" s="125" t="s">
        <v>223</v>
      </c>
      <c r="O10" s="125"/>
      <c r="P10" s="125"/>
      <c r="Q10" s="125"/>
      <c r="R10" s="125"/>
      <c r="S10" s="125"/>
      <c r="T10" s="125"/>
      <c r="U10" s="125" t="s">
        <v>38</v>
      </c>
      <c r="V10" s="125"/>
      <c r="W10" s="125"/>
      <c r="X10" s="125"/>
      <c r="Y10" s="125"/>
      <c r="Z10" s="125"/>
      <c r="AA10" s="125"/>
      <c r="AB10" s="125" t="s">
        <v>223</v>
      </c>
      <c r="AC10" s="125" t="s">
        <v>32</v>
      </c>
      <c r="AD10" s="125" t="s">
        <v>226</v>
      </c>
      <c r="AE10" s="125" t="s">
        <v>226</v>
      </c>
      <c r="AF10" s="125" t="s">
        <v>226</v>
      </c>
      <c r="AG10" s="125" t="s">
        <v>226</v>
      </c>
      <c r="AH10" s="125" t="s">
        <v>32</v>
      </c>
      <c r="AI10" s="125" t="s">
        <v>32</v>
      </c>
      <c r="AJ10" s="125" t="s">
        <v>32</v>
      </c>
      <c r="AK10" s="126"/>
      <c r="AL10" s="289">
        <v>2</v>
      </c>
      <c r="AM10" s="290">
        <v>0</v>
      </c>
      <c r="AN10" s="290">
        <v>0</v>
      </c>
      <c r="AO10" s="290">
        <v>4</v>
      </c>
      <c r="AP10" s="290">
        <v>0</v>
      </c>
      <c r="AQ10" s="290">
        <v>0</v>
      </c>
      <c r="AR10" s="290">
        <v>0</v>
      </c>
      <c r="AS10" s="291">
        <v>0</v>
      </c>
      <c r="AT10" s="289">
        <v>63</v>
      </c>
      <c r="AU10" s="290">
        <v>7</v>
      </c>
      <c r="AV10" s="290">
        <v>4</v>
      </c>
      <c r="AW10" s="290">
        <v>10</v>
      </c>
      <c r="AX10" s="290">
        <v>0</v>
      </c>
      <c r="AY10" s="290">
        <v>0</v>
      </c>
      <c r="AZ10" s="290">
        <v>0</v>
      </c>
      <c r="BA10" s="291">
        <v>0</v>
      </c>
      <c r="BB10" s="127">
        <v>31</v>
      </c>
    </row>
    <row r="11" spans="1:54" ht="20.100000000000001" customHeight="1" x14ac:dyDescent="0.4">
      <c r="A11" s="274">
        <v>90</v>
      </c>
      <c r="B11" s="275" t="s">
        <v>49</v>
      </c>
      <c r="C11" s="275" t="s">
        <v>50</v>
      </c>
      <c r="D11" s="276" t="s">
        <v>38</v>
      </c>
      <c r="E11" s="12"/>
      <c r="F11" s="2"/>
      <c r="G11" s="2" t="s">
        <v>223</v>
      </c>
      <c r="H11" s="2"/>
      <c r="I11" s="2"/>
      <c r="J11" s="2"/>
      <c r="K11" s="2"/>
      <c r="L11" s="2"/>
      <c r="M11" s="2"/>
      <c r="N11" s="2" t="s">
        <v>223</v>
      </c>
      <c r="O11" s="2"/>
      <c r="P11" s="2"/>
      <c r="Q11" s="2"/>
      <c r="R11" s="2"/>
      <c r="S11" s="2"/>
      <c r="T11" s="2"/>
      <c r="U11" s="2" t="s">
        <v>38</v>
      </c>
      <c r="V11" s="2"/>
      <c r="W11" s="2"/>
      <c r="X11" s="2"/>
      <c r="Y11" s="2"/>
      <c r="Z11" s="2"/>
      <c r="AA11" s="2"/>
      <c r="AB11" s="2" t="s">
        <v>38</v>
      </c>
      <c r="AC11" s="2"/>
      <c r="AD11" s="2"/>
      <c r="AE11" s="2"/>
      <c r="AF11" s="2"/>
      <c r="AG11" s="2"/>
      <c r="AH11" s="2"/>
      <c r="AI11" s="2"/>
      <c r="AJ11" s="2"/>
      <c r="AK11" s="117"/>
      <c r="AL11" s="280">
        <v>2</v>
      </c>
      <c r="AM11" s="281">
        <v>0</v>
      </c>
      <c r="AN11" s="281">
        <v>0</v>
      </c>
      <c r="AO11" s="281">
        <v>0</v>
      </c>
      <c r="AP11" s="281">
        <v>0</v>
      </c>
      <c r="AQ11" s="281">
        <v>0</v>
      </c>
      <c r="AR11" s="281">
        <v>0</v>
      </c>
      <c r="AS11" s="282">
        <v>0</v>
      </c>
      <c r="AT11" s="280">
        <v>59</v>
      </c>
      <c r="AU11" s="281">
        <v>7</v>
      </c>
      <c r="AV11" s="281">
        <v>4</v>
      </c>
      <c r="AW11" s="281">
        <v>12</v>
      </c>
      <c r="AX11" s="281">
        <v>9</v>
      </c>
      <c r="AY11" s="281">
        <v>1</v>
      </c>
      <c r="AZ11" s="281">
        <v>12</v>
      </c>
      <c r="BA11" s="282">
        <v>4</v>
      </c>
      <c r="BB11" s="120">
        <v>31</v>
      </c>
    </row>
    <row r="12" spans="1:54" ht="20.100000000000001" customHeight="1" x14ac:dyDescent="0.4">
      <c r="A12" s="265">
        <v>54</v>
      </c>
      <c r="B12" s="266" t="s">
        <v>51</v>
      </c>
      <c r="C12" s="266" t="s">
        <v>52</v>
      </c>
      <c r="D12" s="267" t="s">
        <v>38</v>
      </c>
      <c r="E12" s="9"/>
      <c r="F12" s="3"/>
      <c r="G12" s="3" t="s">
        <v>223</v>
      </c>
      <c r="H12" s="3" t="s">
        <v>38</v>
      </c>
      <c r="I12" s="3"/>
      <c r="J12" s="3"/>
      <c r="K12" s="3"/>
      <c r="L12" s="3"/>
      <c r="M12" s="3"/>
      <c r="N12" s="3" t="s">
        <v>38</v>
      </c>
      <c r="O12" s="3"/>
      <c r="P12" s="3"/>
      <c r="Q12" s="3"/>
      <c r="R12" s="3"/>
      <c r="S12" s="3"/>
      <c r="T12" s="3"/>
      <c r="U12" s="3" t="s">
        <v>223</v>
      </c>
      <c r="V12" s="3"/>
      <c r="W12" s="3"/>
      <c r="X12" s="3"/>
      <c r="Y12" s="3"/>
      <c r="Z12" s="3"/>
      <c r="AA12" s="3"/>
      <c r="AB12" s="3" t="s">
        <v>38</v>
      </c>
      <c r="AC12" s="3"/>
      <c r="AD12" s="3"/>
      <c r="AE12" s="3"/>
      <c r="AF12" s="3"/>
      <c r="AG12" s="3"/>
      <c r="AH12" s="3"/>
      <c r="AI12" s="3"/>
      <c r="AJ12" s="3"/>
      <c r="AK12" s="118"/>
      <c r="AL12" s="283">
        <v>2</v>
      </c>
      <c r="AM12" s="284">
        <v>0</v>
      </c>
      <c r="AN12" s="284">
        <v>0</v>
      </c>
      <c r="AO12" s="284">
        <v>0</v>
      </c>
      <c r="AP12" s="284">
        <v>0</v>
      </c>
      <c r="AQ12" s="284">
        <v>0</v>
      </c>
      <c r="AR12" s="284">
        <v>0</v>
      </c>
      <c r="AS12" s="285">
        <v>0</v>
      </c>
      <c r="AT12" s="283">
        <v>32</v>
      </c>
      <c r="AU12" s="284">
        <v>4</v>
      </c>
      <c r="AV12" s="284">
        <v>1</v>
      </c>
      <c r="AW12" s="284">
        <v>12</v>
      </c>
      <c r="AX12" s="284">
        <v>122</v>
      </c>
      <c r="AY12" s="284">
        <v>0</v>
      </c>
      <c r="AZ12" s="284">
        <v>0</v>
      </c>
      <c r="BA12" s="285">
        <v>0</v>
      </c>
      <c r="BB12" s="37">
        <v>30.5</v>
      </c>
    </row>
    <row r="13" spans="1:54" ht="20.100000000000001" customHeight="1" x14ac:dyDescent="0.4">
      <c r="A13" s="265">
        <v>56</v>
      </c>
      <c r="B13" s="266" t="s">
        <v>53</v>
      </c>
      <c r="C13" s="266" t="s">
        <v>54</v>
      </c>
      <c r="D13" s="267" t="s">
        <v>38</v>
      </c>
      <c r="E13" s="9" t="s">
        <v>224</v>
      </c>
      <c r="F13" s="3" t="s">
        <v>223</v>
      </c>
      <c r="G13" s="3" t="s">
        <v>228</v>
      </c>
      <c r="H13" s="3"/>
      <c r="I13" s="3"/>
      <c r="J13" s="3"/>
      <c r="K13" s="3"/>
      <c r="L13" s="3"/>
      <c r="M13" s="3"/>
      <c r="N13" s="3" t="s">
        <v>38</v>
      </c>
      <c r="O13" s="3"/>
      <c r="P13" s="3"/>
      <c r="Q13" s="3"/>
      <c r="R13" s="3"/>
      <c r="S13" s="3"/>
      <c r="T13" s="3"/>
      <c r="U13" s="3" t="s">
        <v>223</v>
      </c>
      <c r="V13" s="3"/>
      <c r="W13" s="3"/>
      <c r="X13" s="3"/>
      <c r="Y13" s="3"/>
      <c r="Z13" s="3"/>
      <c r="AA13" s="3"/>
      <c r="AB13" s="3" t="s">
        <v>38</v>
      </c>
      <c r="AC13" s="3"/>
      <c r="AD13" s="3"/>
      <c r="AE13" s="3"/>
      <c r="AF13" s="3"/>
      <c r="AG13" s="3"/>
      <c r="AH13" s="3"/>
      <c r="AI13" s="3"/>
      <c r="AJ13" s="3"/>
      <c r="AK13" s="118"/>
      <c r="AL13" s="283">
        <v>2</v>
      </c>
      <c r="AM13" s="284">
        <v>0</v>
      </c>
      <c r="AN13" s="284">
        <v>0</v>
      </c>
      <c r="AO13" s="284">
        <v>0</v>
      </c>
      <c r="AP13" s="284">
        <v>0</v>
      </c>
      <c r="AQ13" s="284">
        <v>1</v>
      </c>
      <c r="AR13" s="284">
        <v>0</v>
      </c>
      <c r="AS13" s="285">
        <v>0</v>
      </c>
      <c r="AT13" s="283">
        <v>63</v>
      </c>
      <c r="AU13" s="284">
        <v>10</v>
      </c>
      <c r="AV13" s="284">
        <v>3</v>
      </c>
      <c r="AW13" s="284">
        <v>12</v>
      </c>
      <c r="AX13" s="284">
        <v>0</v>
      </c>
      <c r="AY13" s="284">
        <v>1</v>
      </c>
      <c r="AZ13" s="284">
        <v>0</v>
      </c>
      <c r="BA13" s="285">
        <v>10</v>
      </c>
      <c r="BB13" s="37">
        <v>23.5</v>
      </c>
    </row>
    <row r="14" spans="1:54" ht="20.100000000000001" customHeight="1" x14ac:dyDescent="0.4">
      <c r="A14" s="303">
        <v>62</v>
      </c>
      <c r="B14" s="304" t="s">
        <v>55</v>
      </c>
      <c r="C14" s="304" t="s">
        <v>56</v>
      </c>
      <c r="D14" s="305" t="s">
        <v>38</v>
      </c>
      <c r="E14" s="13" t="s">
        <v>223</v>
      </c>
      <c r="F14" s="4"/>
      <c r="G14" s="4" t="s">
        <v>38</v>
      </c>
      <c r="H14" s="4"/>
      <c r="I14" s="4"/>
      <c r="J14" s="4"/>
      <c r="K14" s="4"/>
      <c r="L14" s="4"/>
      <c r="M14" s="4"/>
      <c r="N14" s="4" t="s">
        <v>223</v>
      </c>
      <c r="O14" s="4"/>
      <c r="P14" s="4"/>
      <c r="Q14" s="4"/>
      <c r="R14" s="4"/>
      <c r="S14" s="4"/>
      <c r="T14" s="4"/>
      <c r="U14" s="4" t="s">
        <v>38</v>
      </c>
      <c r="V14" s="4"/>
      <c r="W14" s="4"/>
      <c r="X14" s="4"/>
      <c r="Y14" s="4"/>
      <c r="Z14" s="4"/>
      <c r="AA14" s="4"/>
      <c r="AB14" s="4" t="s">
        <v>223</v>
      </c>
      <c r="AC14" s="4"/>
      <c r="AD14" s="4"/>
      <c r="AE14" s="4"/>
      <c r="AF14" s="4"/>
      <c r="AG14" s="4"/>
      <c r="AH14" s="4"/>
      <c r="AI14" s="4"/>
      <c r="AJ14" s="4"/>
      <c r="AK14" s="119"/>
      <c r="AL14" s="306">
        <v>2</v>
      </c>
      <c r="AM14" s="307">
        <v>0</v>
      </c>
      <c r="AN14" s="307">
        <v>0</v>
      </c>
      <c r="AO14" s="307">
        <v>0</v>
      </c>
      <c r="AP14" s="307">
        <v>0</v>
      </c>
      <c r="AQ14" s="307">
        <v>0</v>
      </c>
      <c r="AR14" s="307">
        <v>0</v>
      </c>
      <c r="AS14" s="308">
        <v>0</v>
      </c>
      <c r="AT14" s="306">
        <v>63</v>
      </c>
      <c r="AU14" s="307">
        <v>7</v>
      </c>
      <c r="AV14" s="307">
        <v>3</v>
      </c>
      <c r="AW14" s="307">
        <v>12</v>
      </c>
      <c r="AX14" s="307">
        <v>0</v>
      </c>
      <c r="AY14" s="307">
        <v>1</v>
      </c>
      <c r="AZ14" s="307">
        <v>0</v>
      </c>
      <c r="BA14" s="308">
        <v>9</v>
      </c>
      <c r="BB14" s="121">
        <v>21.5</v>
      </c>
    </row>
    <row r="15" spans="1:54" ht="20.100000000000001" customHeight="1" x14ac:dyDescent="0.4">
      <c r="A15" s="271">
        <v>66</v>
      </c>
      <c r="B15" s="272" t="s">
        <v>57</v>
      </c>
      <c r="C15" s="272" t="s">
        <v>58</v>
      </c>
      <c r="D15" s="273" t="s">
        <v>38</v>
      </c>
      <c r="E15" s="124"/>
      <c r="F15" s="125"/>
      <c r="G15" s="125" t="s">
        <v>223</v>
      </c>
      <c r="H15" s="125"/>
      <c r="I15" s="125" t="s">
        <v>226</v>
      </c>
      <c r="J15" s="125" t="s">
        <v>226</v>
      </c>
      <c r="K15" s="125"/>
      <c r="L15" s="125"/>
      <c r="M15" s="125"/>
      <c r="N15" s="125" t="s">
        <v>38</v>
      </c>
      <c r="O15" s="125"/>
      <c r="P15" s="125"/>
      <c r="Q15" s="125"/>
      <c r="R15" s="125" t="s">
        <v>125</v>
      </c>
      <c r="S15" s="125"/>
      <c r="T15" s="125"/>
      <c r="U15" s="125" t="s">
        <v>223</v>
      </c>
      <c r="V15" s="125"/>
      <c r="W15" s="125"/>
      <c r="X15" s="125"/>
      <c r="Y15" s="125"/>
      <c r="Z15" s="125"/>
      <c r="AA15" s="125"/>
      <c r="AB15" s="125" t="s">
        <v>38</v>
      </c>
      <c r="AC15" s="125"/>
      <c r="AD15" s="125"/>
      <c r="AE15" s="125"/>
      <c r="AF15" s="125"/>
      <c r="AG15" s="125"/>
      <c r="AH15" s="125"/>
      <c r="AI15" s="125"/>
      <c r="AJ15" s="125"/>
      <c r="AK15" s="126" t="s">
        <v>32</v>
      </c>
      <c r="AL15" s="289">
        <v>2</v>
      </c>
      <c r="AM15" s="290">
        <v>0</v>
      </c>
      <c r="AN15" s="290">
        <v>0</v>
      </c>
      <c r="AO15" s="290">
        <v>2</v>
      </c>
      <c r="AP15" s="290">
        <v>0</v>
      </c>
      <c r="AQ15" s="290">
        <v>0</v>
      </c>
      <c r="AR15" s="290">
        <v>0</v>
      </c>
      <c r="AS15" s="291">
        <v>0</v>
      </c>
      <c r="AT15" s="289">
        <v>63</v>
      </c>
      <c r="AU15" s="290">
        <v>11</v>
      </c>
      <c r="AV15" s="290">
        <v>3</v>
      </c>
      <c r="AW15" s="290">
        <v>12</v>
      </c>
      <c r="AX15" s="290">
        <v>0</v>
      </c>
      <c r="AY15" s="290">
        <v>2</v>
      </c>
      <c r="AZ15" s="290">
        <v>0</v>
      </c>
      <c r="BA15" s="291">
        <v>9</v>
      </c>
      <c r="BB15" s="127">
        <v>17.5</v>
      </c>
    </row>
    <row r="16" spans="1:54" ht="20.100000000000001" customHeight="1" x14ac:dyDescent="0.4">
      <c r="A16" s="274">
        <v>8</v>
      </c>
      <c r="B16" s="275" t="s">
        <v>59</v>
      </c>
      <c r="C16" s="275" t="s">
        <v>60</v>
      </c>
      <c r="D16" s="276" t="s">
        <v>61</v>
      </c>
      <c r="E16" s="12" t="s">
        <v>125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117"/>
      <c r="AL16" s="280">
        <v>0</v>
      </c>
      <c r="AM16" s="281">
        <v>0</v>
      </c>
      <c r="AN16" s="281">
        <v>0</v>
      </c>
      <c r="AO16" s="281">
        <v>0</v>
      </c>
      <c r="AP16" s="281">
        <v>0</v>
      </c>
      <c r="AQ16" s="281">
        <v>0</v>
      </c>
      <c r="AR16" s="281">
        <v>0</v>
      </c>
      <c r="AS16" s="282">
        <v>0</v>
      </c>
      <c r="AT16" s="280">
        <v>59</v>
      </c>
      <c r="AU16" s="281">
        <v>6</v>
      </c>
      <c r="AV16" s="281">
        <v>0</v>
      </c>
      <c r="AW16" s="281">
        <v>10</v>
      </c>
      <c r="AX16" s="281">
        <v>11</v>
      </c>
      <c r="AY16" s="281">
        <v>0</v>
      </c>
      <c r="AZ16" s="281">
        <v>16</v>
      </c>
      <c r="BA16" s="282">
        <v>0</v>
      </c>
      <c r="BB16" s="120">
        <v>34</v>
      </c>
    </row>
    <row r="17" spans="1:54" ht="20.100000000000001" customHeight="1" x14ac:dyDescent="0.4">
      <c r="A17" s="265">
        <v>14</v>
      </c>
      <c r="B17" s="266" t="s">
        <v>136</v>
      </c>
      <c r="C17" s="266" t="s">
        <v>137</v>
      </c>
      <c r="D17" s="267" t="s">
        <v>61</v>
      </c>
      <c r="E17" s="9"/>
      <c r="F17" s="3"/>
      <c r="G17" s="3"/>
      <c r="H17" s="3"/>
      <c r="I17" s="3"/>
      <c r="J17" s="3"/>
      <c r="K17" s="3"/>
      <c r="L17" s="3"/>
      <c r="M17" s="3"/>
      <c r="N17" s="3" t="s">
        <v>32</v>
      </c>
      <c r="O17" s="3" t="s">
        <v>32</v>
      </c>
      <c r="P17" s="3" t="s">
        <v>226</v>
      </c>
      <c r="Q17" s="3" t="s">
        <v>226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118"/>
      <c r="AL17" s="283">
        <v>0</v>
      </c>
      <c r="AM17" s="284">
        <v>0</v>
      </c>
      <c r="AN17" s="284">
        <v>0</v>
      </c>
      <c r="AO17" s="284">
        <v>2</v>
      </c>
      <c r="AP17" s="284">
        <v>0</v>
      </c>
      <c r="AQ17" s="284">
        <v>0</v>
      </c>
      <c r="AR17" s="284">
        <v>0</v>
      </c>
      <c r="AS17" s="285">
        <v>0</v>
      </c>
      <c r="AT17" s="283">
        <v>61</v>
      </c>
      <c r="AU17" s="284">
        <v>6</v>
      </c>
      <c r="AV17" s="284">
        <v>0</v>
      </c>
      <c r="AW17" s="284">
        <v>10</v>
      </c>
      <c r="AX17" s="284">
        <v>0</v>
      </c>
      <c r="AY17" s="284">
        <v>6</v>
      </c>
      <c r="AZ17" s="284">
        <v>0</v>
      </c>
      <c r="BA17" s="285">
        <v>0</v>
      </c>
      <c r="BB17" s="37">
        <v>34</v>
      </c>
    </row>
    <row r="18" spans="1:54" ht="20.100000000000001" customHeight="1" x14ac:dyDescent="0.4">
      <c r="A18" s="265">
        <v>34</v>
      </c>
      <c r="B18" s="266" t="s">
        <v>150</v>
      </c>
      <c r="C18" s="266" t="s">
        <v>151</v>
      </c>
      <c r="D18" s="267" t="s">
        <v>61</v>
      </c>
      <c r="E18" s="9"/>
      <c r="F18" s="3"/>
      <c r="G18" s="3"/>
      <c r="H18" s="3"/>
      <c r="I18" s="3"/>
      <c r="J18" s="3"/>
      <c r="K18" s="3"/>
      <c r="L18" s="3" t="s">
        <v>226</v>
      </c>
      <c r="M18" s="3" t="s">
        <v>226</v>
      </c>
      <c r="N18" s="3"/>
      <c r="O18" s="3"/>
      <c r="P18" s="3"/>
      <c r="Q18" s="3" t="s">
        <v>32</v>
      </c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 t="s">
        <v>226</v>
      </c>
      <c r="AF18" s="3" t="s">
        <v>226</v>
      </c>
      <c r="AG18" s="3" t="s">
        <v>226</v>
      </c>
      <c r="AH18" s="3"/>
      <c r="AI18" s="3"/>
      <c r="AJ18" s="3"/>
      <c r="AK18" s="118"/>
      <c r="AL18" s="283">
        <v>0</v>
      </c>
      <c r="AM18" s="284">
        <v>0</v>
      </c>
      <c r="AN18" s="284">
        <v>0</v>
      </c>
      <c r="AO18" s="284">
        <v>5</v>
      </c>
      <c r="AP18" s="284">
        <v>0</v>
      </c>
      <c r="AQ18" s="284">
        <v>0</v>
      </c>
      <c r="AR18" s="284">
        <v>0</v>
      </c>
      <c r="AS18" s="285">
        <v>0</v>
      </c>
      <c r="AT18" s="283">
        <v>61</v>
      </c>
      <c r="AU18" s="284">
        <v>8</v>
      </c>
      <c r="AV18" s="284">
        <v>3</v>
      </c>
      <c r="AW18" s="284">
        <v>12</v>
      </c>
      <c r="AX18" s="284">
        <v>0</v>
      </c>
      <c r="AY18" s="284">
        <v>2</v>
      </c>
      <c r="AZ18" s="284">
        <v>14</v>
      </c>
      <c r="BA18" s="285">
        <v>3</v>
      </c>
      <c r="BB18" s="37">
        <v>30.5</v>
      </c>
    </row>
    <row r="19" spans="1:54" ht="20.100000000000001" customHeight="1" x14ac:dyDescent="0.4">
      <c r="A19" s="268">
        <v>39</v>
      </c>
      <c r="B19" s="269" t="s">
        <v>156</v>
      </c>
      <c r="C19" s="269" t="s">
        <v>157</v>
      </c>
      <c r="D19" s="270" t="s">
        <v>61</v>
      </c>
      <c r="E19" s="13" t="s">
        <v>349</v>
      </c>
      <c r="F19" s="4" t="s">
        <v>238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 t="s">
        <v>32</v>
      </c>
      <c r="AC19" s="4" t="s">
        <v>32</v>
      </c>
      <c r="AD19" s="4" t="s">
        <v>226</v>
      </c>
      <c r="AE19" s="4" t="s">
        <v>226</v>
      </c>
      <c r="AF19" s="4" t="s">
        <v>226</v>
      </c>
      <c r="AG19" s="4" t="s">
        <v>226</v>
      </c>
      <c r="AH19" s="4" t="s">
        <v>32</v>
      </c>
      <c r="AI19" s="4" t="s">
        <v>32</v>
      </c>
      <c r="AJ19" s="4" t="s">
        <v>32</v>
      </c>
      <c r="AK19" s="119"/>
      <c r="AL19" s="286">
        <v>0</v>
      </c>
      <c r="AM19" s="287">
        <v>0</v>
      </c>
      <c r="AN19" s="287">
        <v>0</v>
      </c>
      <c r="AO19" s="287">
        <v>4</v>
      </c>
      <c r="AP19" s="287">
        <v>0</v>
      </c>
      <c r="AQ19" s="287">
        <v>0</v>
      </c>
      <c r="AR19" s="287">
        <v>0</v>
      </c>
      <c r="AS19" s="288">
        <v>0</v>
      </c>
      <c r="AT19" s="286">
        <v>61</v>
      </c>
      <c r="AU19" s="287">
        <v>10</v>
      </c>
      <c r="AV19" s="287">
        <v>1</v>
      </c>
      <c r="AW19" s="287">
        <v>12</v>
      </c>
      <c r="AX19" s="287">
        <v>0</v>
      </c>
      <c r="AY19" s="287">
        <v>0</v>
      </c>
      <c r="AZ19" s="287">
        <v>18</v>
      </c>
      <c r="BA19" s="288">
        <v>3</v>
      </c>
      <c r="BB19" s="121">
        <v>29.5</v>
      </c>
    </row>
    <row r="20" spans="1:54" ht="20.100000000000001" customHeight="1" x14ac:dyDescent="0.4">
      <c r="A20" s="271">
        <v>50</v>
      </c>
      <c r="B20" s="272" t="s">
        <v>168</v>
      </c>
      <c r="C20" s="272" t="s">
        <v>169</v>
      </c>
      <c r="D20" s="273" t="s">
        <v>61</v>
      </c>
      <c r="E20" s="124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 t="s">
        <v>226</v>
      </c>
      <c r="U20" s="125" t="s">
        <v>226</v>
      </c>
      <c r="V20" s="125"/>
      <c r="W20" s="125" t="s">
        <v>226</v>
      </c>
      <c r="X20" s="125" t="s">
        <v>226</v>
      </c>
      <c r="Y20" s="125" t="s">
        <v>226</v>
      </c>
      <c r="Z20" s="125" t="s">
        <v>350</v>
      </c>
      <c r="AA20" s="125" t="s">
        <v>238</v>
      </c>
      <c r="AB20" s="125"/>
      <c r="AC20" s="125"/>
      <c r="AD20" s="125"/>
      <c r="AE20" s="125"/>
      <c r="AF20" s="125"/>
      <c r="AG20" s="125"/>
      <c r="AH20" s="125"/>
      <c r="AI20" s="125"/>
      <c r="AJ20" s="125"/>
      <c r="AK20" s="126"/>
      <c r="AL20" s="289">
        <v>0</v>
      </c>
      <c r="AM20" s="290">
        <v>0</v>
      </c>
      <c r="AN20" s="290">
        <v>0</v>
      </c>
      <c r="AO20" s="290">
        <v>5</v>
      </c>
      <c r="AP20" s="290">
        <v>0</v>
      </c>
      <c r="AQ20" s="290">
        <v>0</v>
      </c>
      <c r="AR20" s="290">
        <v>1</v>
      </c>
      <c r="AS20" s="291">
        <v>0</v>
      </c>
      <c r="AT20" s="289">
        <v>61</v>
      </c>
      <c r="AU20" s="290">
        <v>7</v>
      </c>
      <c r="AV20" s="290">
        <v>2</v>
      </c>
      <c r="AW20" s="290">
        <v>12</v>
      </c>
      <c r="AX20" s="290">
        <v>0</v>
      </c>
      <c r="AY20" s="290">
        <v>4</v>
      </c>
      <c r="AZ20" s="290">
        <v>19</v>
      </c>
      <c r="BA20" s="291">
        <v>3</v>
      </c>
      <c r="BB20" s="127">
        <v>32</v>
      </c>
    </row>
    <row r="21" spans="1:54" ht="20.100000000000001" customHeight="1" x14ac:dyDescent="0.4">
      <c r="A21" s="274">
        <v>60</v>
      </c>
      <c r="B21" s="275" t="s">
        <v>174</v>
      </c>
      <c r="C21" s="275" t="s">
        <v>175</v>
      </c>
      <c r="D21" s="276" t="s">
        <v>61</v>
      </c>
      <c r="E21" s="12" t="s">
        <v>227</v>
      </c>
      <c r="F21" s="2" t="s">
        <v>227</v>
      </c>
      <c r="G21" s="2" t="s">
        <v>227</v>
      </c>
      <c r="H21" s="2" t="s">
        <v>227</v>
      </c>
      <c r="I21" s="2" t="s">
        <v>227</v>
      </c>
      <c r="J21" s="2" t="s">
        <v>227</v>
      </c>
      <c r="K21" s="2" t="s">
        <v>227</v>
      </c>
      <c r="L21" s="2" t="s">
        <v>227</v>
      </c>
      <c r="M21" s="2" t="s">
        <v>227</v>
      </c>
      <c r="N21" s="2" t="s">
        <v>227</v>
      </c>
      <c r="O21" s="2" t="s">
        <v>227</v>
      </c>
      <c r="P21" s="2" t="s">
        <v>125</v>
      </c>
      <c r="Q21" s="2" t="s">
        <v>125</v>
      </c>
      <c r="R21" s="2" t="s">
        <v>125</v>
      </c>
      <c r="S21" s="2" t="s">
        <v>125</v>
      </c>
      <c r="T21" s="2" t="s">
        <v>125</v>
      </c>
      <c r="U21" s="2" t="s">
        <v>125</v>
      </c>
      <c r="V21" s="2" t="s">
        <v>125</v>
      </c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117"/>
      <c r="AL21" s="280">
        <v>0</v>
      </c>
      <c r="AM21" s="281">
        <v>0</v>
      </c>
      <c r="AN21" s="281">
        <v>0</v>
      </c>
      <c r="AO21" s="281">
        <v>0</v>
      </c>
      <c r="AP21" s="281">
        <v>10</v>
      </c>
      <c r="AQ21" s="281">
        <v>0</v>
      </c>
      <c r="AR21" s="281">
        <v>0</v>
      </c>
      <c r="AS21" s="282">
        <v>0</v>
      </c>
      <c r="AT21" s="280">
        <v>61</v>
      </c>
      <c r="AU21" s="281">
        <v>8</v>
      </c>
      <c r="AV21" s="281">
        <v>0</v>
      </c>
      <c r="AW21" s="281">
        <v>12</v>
      </c>
      <c r="AX21" s="281">
        <v>33</v>
      </c>
      <c r="AY21" s="281">
        <v>4</v>
      </c>
      <c r="AZ21" s="281">
        <v>14</v>
      </c>
      <c r="BA21" s="282">
        <v>5</v>
      </c>
      <c r="BB21" s="120">
        <v>27</v>
      </c>
    </row>
    <row r="22" spans="1:54" ht="20.100000000000001" customHeight="1" x14ac:dyDescent="0.4">
      <c r="A22" s="265">
        <v>68</v>
      </c>
      <c r="B22" s="266" t="s">
        <v>180</v>
      </c>
      <c r="C22" s="266" t="s">
        <v>181</v>
      </c>
      <c r="D22" s="267" t="s">
        <v>61</v>
      </c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118"/>
      <c r="AL22" s="283">
        <v>0</v>
      </c>
      <c r="AM22" s="284">
        <v>0</v>
      </c>
      <c r="AN22" s="284">
        <v>0</v>
      </c>
      <c r="AO22" s="284">
        <v>0</v>
      </c>
      <c r="AP22" s="284">
        <v>0</v>
      </c>
      <c r="AQ22" s="284">
        <v>0</v>
      </c>
      <c r="AR22" s="284">
        <v>0</v>
      </c>
      <c r="AS22" s="285">
        <v>0</v>
      </c>
      <c r="AT22" s="283">
        <v>61</v>
      </c>
      <c r="AU22" s="284">
        <v>10</v>
      </c>
      <c r="AV22" s="284">
        <v>0</v>
      </c>
      <c r="AW22" s="284">
        <v>12</v>
      </c>
      <c r="AX22" s="284">
        <v>7</v>
      </c>
      <c r="AY22" s="284">
        <v>1</v>
      </c>
      <c r="AZ22" s="284">
        <v>21</v>
      </c>
      <c r="BA22" s="285">
        <v>2</v>
      </c>
      <c r="BB22" s="37">
        <v>20</v>
      </c>
    </row>
    <row r="23" spans="1:54" ht="20.100000000000001" customHeight="1" x14ac:dyDescent="0.4">
      <c r="A23" s="265">
        <v>75</v>
      </c>
      <c r="B23" s="266" t="s">
        <v>182</v>
      </c>
      <c r="C23" s="266" t="s">
        <v>183</v>
      </c>
      <c r="D23" s="267" t="s">
        <v>61</v>
      </c>
      <c r="E23" s="9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118"/>
      <c r="AL23" s="283">
        <v>0</v>
      </c>
      <c r="AM23" s="284">
        <v>0</v>
      </c>
      <c r="AN23" s="284">
        <v>0</v>
      </c>
      <c r="AO23" s="284">
        <v>0</v>
      </c>
      <c r="AP23" s="284">
        <v>0</v>
      </c>
      <c r="AQ23" s="284">
        <v>0</v>
      </c>
      <c r="AR23" s="284">
        <v>0</v>
      </c>
      <c r="AS23" s="285">
        <v>0</v>
      </c>
      <c r="AT23" s="283">
        <v>61</v>
      </c>
      <c r="AU23" s="284">
        <v>6</v>
      </c>
      <c r="AV23" s="284">
        <v>0</v>
      </c>
      <c r="AW23" s="284">
        <v>10</v>
      </c>
      <c r="AX23" s="284">
        <v>4</v>
      </c>
      <c r="AY23" s="284">
        <v>0</v>
      </c>
      <c r="AZ23" s="284">
        <v>15</v>
      </c>
      <c r="BA23" s="285">
        <v>7</v>
      </c>
      <c r="BB23" s="37">
        <v>19</v>
      </c>
    </row>
    <row r="24" spans="1:54" ht="20.100000000000001" customHeight="1" x14ac:dyDescent="0.4">
      <c r="A24" s="268">
        <v>76</v>
      </c>
      <c r="B24" s="269" t="s">
        <v>184</v>
      </c>
      <c r="C24" s="269" t="s">
        <v>185</v>
      </c>
      <c r="D24" s="270" t="s">
        <v>61</v>
      </c>
      <c r="E24" s="13" t="s">
        <v>223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 t="s">
        <v>226</v>
      </c>
      <c r="AA24" s="4" t="s">
        <v>226</v>
      </c>
      <c r="AB24" s="4"/>
      <c r="AC24" s="4"/>
      <c r="AD24" s="4"/>
      <c r="AE24" s="4"/>
      <c r="AF24" s="4"/>
      <c r="AG24" s="4"/>
      <c r="AH24" s="4"/>
      <c r="AI24" s="4"/>
      <c r="AJ24" s="4"/>
      <c r="AK24" s="119"/>
      <c r="AL24" s="286">
        <v>0</v>
      </c>
      <c r="AM24" s="287">
        <v>0</v>
      </c>
      <c r="AN24" s="287">
        <v>0</v>
      </c>
      <c r="AO24" s="287">
        <v>2</v>
      </c>
      <c r="AP24" s="287">
        <v>0</v>
      </c>
      <c r="AQ24" s="287">
        <v>0</v>
      </c>
      <c r="AR24" s="287">
        <v>0</v>
      </c>
      <c r="AS24" s="288">
        <v>0</v>
      </c>
      <c r="AT24" s="286">
        <v>61</v>
      </c>
      <c r="AU24" s="287">
        <v>7</v>
      </c>
      <c r="AV24" s="287">
        <v>0</v>
      </c>
      <c r="AW24" s="287">
        <v>12</v>
      </c>
      <c r="AX24" s="287">
        <v>0</v>
      </c>
      <c r="AY24" s="287">
        <v>0</v>
      </c>
      <c r="AZ24" s="287">
        <v>15</v>
      </c>
      <c r="BA24" s="288">
        <v>3</v>
      </c>
      <c r="BB24" s="121">
        <v>18</v>
      </c>
    </row>
    <row r="25" spans="1:54" ht="20.100000000000001" customHeight="1" x14ac:dyDescent="0.4">
      <c r="A25" s="271">
        <v>81</v>
      </c>
      <c r="B25" s="272" t="s">
        <v>188</v>
      </c>
      <c r="C25" s="272" t="s">
        <v>189</v>
      </c>
      <c r="D25" s="273" t="s">
        <v>61</v>
      </c>
      <c r="E25" s="124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6"/>
      <c r="AL25" s="289">
        <v>0</v>
      </c>
      <c r="AM25" s="290">
        <v>0</v>
      </c>
      <c r="AN25" s="290">
        <v>0</v>
      </c>
      <c r="AO25" s="290">
        <v>0</v>
      </c>
      <c r="AP25" s="290">
        <v>0</v>
      </c>
      <c r="AQ25" s="290">
        <v>0</v>
      </c>
      <c r="AR25" s="290">
        <v>0</v>
      </c>
      <c r="AS25" s="291">
        <v>0</v>
      </c>
      <c r="AT25" s="289">
        <v>61</v>
      </c>
      <c r="AU25" s="290">
        <v>6</v>
      </c>
      <c r="AV25" s="290">
        <v>0</v>
      </c>
      <c r="AW25" s="290">
        <v>12</v>
      </c>
      <c r="AX25" s="290">
        <v>0</v>
      </c>
      <c r="AY25" s="290">
        <v>1</v>
      </c>
      <c r="AZ25" s="290">
        <v>16</v>
      </c>
      <c r="BA25" s="291">
        <v>4</v>
      </c>
      <c r="BB25" s="127">
        <v>17</v>
      </c>
    </row>
    <row r="26" spans="1:54" ht="20.100000000000001" customHeight="1" x14ac:dyDescent="0.4">
      <c r="A26" s="274">
        <v>92</v>
      </c>
      <c r="B26" s="275" t="s">
        <v>192</v>
      </c>
      <c r="C26" s="275" t="s">
        <v>193</v>
      </c>
      <c r="D26" s="276" t="s">
        <v>61</v>
      </c>
      <c r="E26" s="1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 t="s">
        <v>226</v>
      </c>
      <c r="AF26" s="2" t="s">
        <v>226</v>
      </c>
      <c r="AG26" s="2" t="s">
        <v>226</v>
      </c>
      <c r="AH26" s="2"/>
      <c r="AI26" s="2"/>
      <c r="AJ26" s="2"/>
      <c r="AK26" s="117"/>
      <c r="AL26" s="280">
        <v>0</v>
      </c>
      <c r="AM26" s="281">
        <v>0</v>
      </c>
      <c r="AN26" s="281">
        <v>0</v>
      </c>
      <c r="AO26" s="281">
        <v>3</v>
      </c>
      <c r="AP26" s="281">
        <v>0</v>
      </c>
      <c r="AQ26" s="281">
        <v>0</v>
      </c>
      <c r="AR26" s="281">
        <v>0</v>
      </c>
      <c r="AS26" s="282">
        <v>0</v>
      </c>
      <c r="AT26" s="280">
        <v>61</v>
      </c>
      <c r="AU26" s="281">
        <v>6</v>
      </c>
      <c r="AV26" s="281">
        <v>0</v>
      </c>
      <c r="AW26" s="281">
        <v>12</v>
      </c>
      <c r="AX26" s="281">
        <v>0</v>
      </c>
      <c r="AY26" s="281">
        <v>4</v>
      </c>
      <c r="AZ26" s="281">
        <v>16</v>
      </c>
      <c r="BA26" s="282">
        <v>4</v>
      </c>
      <c r="BB26" s="120">
        <v>4</v>
      </c>
    </row>
    <row r="27" spans="1:54" ht="20.100000000000001" customHeight="1" x14ac:dyDescent="0.4">
      <c r="A27" s="265">
        <v>2</v>
      </c>
      <c r="B27" s="266" t="s">
        <v>196</v>
      </c>
      <c r="C27" s="266" t="s">
        <v>197</v>
      </c>
      <c r="D27" s="267" t="s">
        <v>61</v>
      </c>
      <c r="E27" s="9" t="s">
        <v>224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118"/>
      <c r="AL27" s="283">
        <v>0</v>
      </c>
      <c r="AM27" s="284">
        <v>0</v>
      </c>
      <c r="AN27" s="284">
        <v>0</v>
      </c>
      <c r="AO27" s="284">
        <v>0</v>
      </c>
      <c r="AP27" s="284">
        <v>0</v>
      </c>
      <c r="AQ27" s="284">
        <v>0</v>
      </c>
      <c r="AR27" s="284">
        <v>0</v>
      </c>
      <c r="AS27" s="285">
        <v>0</v>
      </c>
      <c r="AT27" s="283">
        <v>61</v>
      </c>
      <c r="AU27" s="284">
        <v>17</v>
      </c>
      <c r="AV27" s="284">
        <v>4</v>
      </c>
      <c r="AW27" s="284">
        <v>0</v>
      </c>
      <c r="AX27" s="284">
        <v>0</v>
      </c>
      <c r="AY27" s="284">
        <v>0</v>
      </c>
      <c r="AZ27" s="284">
        <v>0</v>
      </c>
      <c r="BA27" s="285">
        <v>0</v>
      </c>
      <c r="BB27" s="37">
        <v>-14</v>
      </c>
    </row>
    <row r="28" spans="1:54" ht="20.100000000000001" customHeight="1" x14ac:dyDescent="0.4">
      <c r="A28" s="265">
        <v>97</v>
      </c>
      <c r="B28" s="266" t="s">
        <v>117</v>
      </c>
      <c r="C28" s="266" t="s">
        <v>118</v>
      </c>
      <c r="D28" s="267" t="s">
        <v>204</v>
      </c>
      <c r="E28" s="9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118"/>
      <c r="AL28" s="283">
        <v>0</v>
      </c>
      <c r="AM28" s="284">
        <v>0</v>
      </c>
      <c r="AN28" s="284">
        <v>0</v>
      </c>
      <c r="AO28" s="284">
        <v>0</v>
      </c>
      <c r="AP28" s="284">
        <v>0</v>
      </c>
      <c r="AQ28" s="284">
        <v>0</v>
      </c>
      <c r="AR28" s="284">
        <v>0</v>
      </c>
      <c r="AS28" s="285">
        <v>0</v>
      </c>
      <c r="AT28" s="283">
        <v>61</v>
      </c>
      <c r="AU28" s="284">
        <v>8</v>
      </c>
      <c r="AV28" s="284">
        <v>1</v>
      </c>
      <c r="AW28" s="284">
        <v>12</v>
      </c>
      <c r="AX28" s="284">
        <v>0</v>
      </c>
      <c r="AY28" s="284">
        <v>0</v>
      </c>
      <c r="AZ28" s="284">
        <v>0</v>
      </c>
      <c r="BA28" s="285">
        <v>0</v>
      </c>
      <c r="BB28" s="37">
        <v>31.5</v>
      </c>
    </row>
    <row r="29" spans="1:54" ht="20.100000000000001" customHeight="1" x14ac:dyDescent="0.4">
      <c r="A29" s="268">
        <v>10</v>
      </c>
      <c r="B29" s="269" t="s">
        <v>130</v>
      </c>
      <c r="C29" s="269" t="s">
        <v>131</v>
      </c>
      <c r="D29" s="270" t="s">
        <v>204</v>
      </c>
      <c r="E29" s="13"/>
      <c r="F29" s="4" t="s">
        <v>224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119"/>
      <c r="AL29" s="286">
        <v>0</v>
      </c>
      <c r="AM29" s="287">
        <v>1</v>
      </c>
      <c r="AN29" s="287">
        <v>0</v>
      </c>
      <c r="AO29" s="287">
        <v>0</v>
      </c>
      <c r="AP29" s="287">
        <v>0</v>
      </c>
      <c r="AQ29" s="287">
        <v>0</v>
      </c>
      <c r="AR29" s="287">
        <v>0</v>
      </c>
      <c r="AS29" s="288">
        <v>0</v>
      </c>
      <c r="AT29" s="286">
        <v>61</v>
      </c>
      <c r="AU29" s="287">
        <v>10</v>
      </c>
      <c r="AV29" s="287">
        <v>1</v>
      </c>
      <c r="AW29" s="287">
        <v>12</v>
      </c>
      <c r="AX29" s="287">
        <v>0</v>
      </c>
      <c r="AY29" s="287">
        <v>0</v>
      </c>
      <c r="AZ29" s="287">
        <v>0</v>
      </c>
      <c r="BA29" s="288">
        <v>14</v>
      </c>
      <c r="BB29" s="121">
        <v>29.5</v>
      </c>
    </row>
    <row r="30" spans="1:54" ht="20.100000000000001" customHeight="1" x14ac:dyDescent="0.4">
      <c r="A30" s="271">
        <v>89</v>
      </c>
      <c r="B30" s="272" t="s">
        <v>142</v>
      </c>
      <c r="C30" s="272" t="s">
        <v>143</v>
      </c>
      <c r="D30" s="273" t="s">
        <v>204</v>
      </c>
      <c r="E30" s="124"/>
      <c r="F30" s="125" t="s">
        <v>349</v>
      </c>
      <c r="G30" s="125" t="s">
        <v>238</v>
      </c>
      <c r="H30" s="125"/>
      <c r="I30" s="125"/>
      <c r="J30" s="125"/>
      <c r="K30" s="125"/>
      <c r="L30" s="125"/>
      <c r="M30" s="125"/>
      <c r="N30" s="125" t="s">
        <v>32</v>
      </c>
      <c r="O30" s="125" t="s">
        <v>32</v>
      </c>
      <c r="P30" s="125"/>
      <c r="Q30" s="125" t="s">
        <v>32</v>
      </c>
      <c r="R30" s="125"/>
      <c r="S30" s="125"/>
      <c r="T30" s="125"/>
      <c r="U30" s="125" t="s">
        <v>349</v>
      </c>
      <c r="V30" s="125" t="s">
        <v>238</v>
      </c>
      <c r="W30" s="125"/>
      <c r="X30" s="125"/>
      <c r="Y30" s="125"/>
      <c r="Z30" s="125" t="s">
        <v>32</v>
      </c>
      <c r="AA30" s="125"/>
      <c r="AB30" s="125" t="s">
        <v>32</v>
      </c>
      <c r="AC30" s="125" t="s">
        <v>32</v>
      </c>
      <c r="AD30" s="125"/>
      <c r="AE30" s="125"/>
      <c r="AF30" s="125"/>
      <c r="AG30" s="125"/>
      <c r="AH30" s="125"/>
      <c r="AI30" s="125"/>
      <c r="AJ30" s="125"/>
      <c r="AK30" s="126"/>
      <c r="AL30" s="289">
        <v>0</v>
      </c>
      <c r="AM30" s="290">
        <v>0</v>
      </c>
      <c r="AN30" s="290">
        <v>0</v>
      </c>
      <c r="AO30" s="290">
        <v>0</v>
      </c>
      <c r="AP30" s="290">
        <v>0</v>
      </c>
      <c r="AQ30" s="290">
        <v>0</v>
      </c>
      <c r="AR30" s="290">
        <v>2</v>
      </c>
      <c r="AS30" s="291">
        <v>0</v>
      </c>
      <c r="AT30" s="289">
        <v>61</v>
      </c>
      <c r="AU30" s="290">
        <v>15</v>
      </c>
      <c r="AV30" s="290">
        <v>2</v>
      </c>
      <c r="AW30" s="290">
        <v>12</v>
      </c>
      <c r="AX30" s="290">
        <v>0</v>
      </c>
      <c r="AY30" s="290">
        <v>3</v>
      </c>
      <c r="AZ30" s="290">
        <v>13</v>
      </c>
      <c r="BA30" s="291">
        <v>6</v>
      </c>
      <c r="BB30" s="127">
        <v>24</v>
      </c>
    </row>
    <row r="31" spans="1:54" ht="20.100000000000001" customHeight="1" x14ac:dyDescent="0.4">
      <c r="A31" s="274">
        <v>27</v>
      </c>
      <c r="B31" s="275" t="s">
        <v>146</v>
      </c>
      <c r="C31" s="275" t="s">
        <v>147</v>
      </c>
      <c r="D31" s="276" t="s">
        <v>204</v>
      </c>
      <c r="E31" s="12"/>
      <c r="F31" s="2"/>
      <c r="G31" s="2"/>
      <c r="H31" s="2"/>
      <c r="I31" s="2" t="s">
        <v>125</v>
      </c>
      <c r="J31" s="2" t="s">
        <v>125</v>
      </c>
      <c r="K31" s="2" t="s">
        <v>125</v>
      </c>
      <c r="L31" s="2" t="s">
        <v>125</v>
      </c>
      <c r="M31" s="2" t="s">
        <v>125</v>
      </c>
      <c r="N31" s="2" t="s">
        <v>32</v>
      </c>
      <c r="O31" s="2" t="s">
        <v>32</v>
      </c>
      <c r="P31" s="2" t="s">
        <v>226</v>
      </c>
      <c r="Q31" s="2"/>
      <c r="R31" s="2" t="s">
        <v>125</v>
      </c>
      <c r="S31" s="2" t="s">
        <v>125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117"/>
      <c r="AL31" s="280">
        <v>0</v>
      </c>
      <c r="AM31" s="281">
        <v>0</v>
      </c>
      <c r="AN31" s="281">
        <v>0</v>
      </c>
      <c r="AO31" s="281">
        <v>1</v>
      </c>
      <c r="AP31" s="281">
        <v>0</v>
      </c>
      <c r="AQ31" s="281">
        <v>0</v>
      </c>
      <c r="AR31" s="281">
        <v>0</v>
      </c>
      <c r="AS31" s="282">
        <v>0</v>
      </c>
      <c r="AT31" s="280">
        <v>60</v>
      </c>
      <c r="AU31" s="281">
        <v>7</v>
      </c>
      <c r="AV31" s="281">
        <v>1</v>
      </c>
      <c r="AW31" s="281">
        <v>12</v>
      </c>
      <c r="AX31" s="281">
        <v>6</v>
      </c>
      <c r="AY31" s="281">
        <v>0</v>
      </c>
      <c r="AZ31" s="281">
        <v>14</v>
      </c>
      <c r="BA31" s="282">
        <v>7</v>
      </c>
      <c r="BB31" s="120">
        <v>32.5</v>
      </c>
    </row>
    <row r="32" spans="1:54" ht="20.100000000000001" customHeight="1" x14ac:dyDescent="0.4">
      <c r="A32" s="265">
        <v>38</v>
      </c>
      <c r="B32" s="266" t="s">
        <v>154</v>
      </c>
      <c r="C32" s="266" t="s">
        <v>155</v>
      </c>
      <c r="D32" s="267" t="s">
        <v>204</v>
      </c>
      <c r="E32" s="9"/>
      <c r="F32" s="3"/>
      <c r="G32" s="3"/>
      <c r="H32" s="3" t="s">
        <v>32</v>
      </c>
      <c r="I32" s="3"/>
      <c r="J32" s="3"/>
      <c r="K32" s="3"/>
      <c r="L32" s="3"/>
      <c r="M32" s="3"/>
      <c r="N32" s="3" t="s">
        <v>32</v>
      </c>
      <c r="O32" s="3" t="s">
        <v>32</v>
      </c>
      <c r="P32" s="3"/>
      <c r="Q32" s="3"/>
      <c r="R32" s="3" t="s">
        <v>125</v>
      </c>
      <c r="S32" s="3" t="s">
        <v>125</v>
      </c>
      <c r="T32" s="3"/>
      <c r="U32" s="3"/>
      <c r="V32" s="3"/>
      <c r="W32" s="3"/>
      <c r="X32" s="3"/>
      <c r="Y32" s="3"/>
      <c r="Z32" s="3"/>
      <c r="AA32" s="3"/>
      <c r="AB32" s="3" t="s">
        <v>32</v>
      </c>
      <c r="AC32" s="3" t="s">
        <v>32</v>
      </c>
      <c r="AD32" s="3"/>
      <c r="AE32" s="3"/>
      <c r="AF32" s="3" t="s">
        <v>32</v>
      </c>
      <c r="AG32" s="3"/>
      <c r="AH32" s="3"/>
      <c r="AI32" s="3"/>
      <c r="AJ32" s="3"/>
      <c r="AK32" s="118"/>
      <c r="AL32" s="283">
        <v>0</v>
      </c>
      <c r="AM32" s="284">
        <v>0</v>
      </c>
      <c r="AN32" s="284">
        <v>0</v>
      </c>
      <c r="AO32" s="284">
        <v>0</v>
      </c>
      <c r="AP32" s="284">
        <v>0</v>
      </c>
      <c r="AQ32" s="284">
        <v>0</v>
      </c>
      <c r="AR32" s="284">
        <v>0</v>
      </c>
      <c r="AS32" s="285">
        <v>0</v>
      </c>
      <c r="AT32" s="283">
        <v>61</v>
      </c>
      <c r="AU32" s="284">
        <v>11</v>
      </c>
      <c r="AV32" s="284">
        <v>1</v>
      </c>
      <c r="AW32" s="284">
        <v>12</v>
      </c>
      <c r="AX32" s="284">
        <v>0</v>
      </c>
      <c r="AY32" s="284">
        <v>3</v>
      </c>
      <c r="AZ32" s="284">
        <v>18</v>
      </c>
      <c r="BA32" s="285">
        <v>3</v>
      </c>
      <c r="BB32" s="37">
        <v>28.5</v>
      </c>
    </row>
    <row r="33" spans="1:54" ht="20.100000000000001" customHeight="1" x14ac:dyDescent="0.4">
      <c r="A33" s="265">
        <v>17</v>
      </c>
      <c r="B33" s="266" t="s">
        <v>140</v>
      </c>
      <c r="C33" s="266" t="s">
        <v>141</v>
      </c>
      <c r="D33" s="267" t="s">
        <v>203</v>
      </c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118"/>
      <c r="AL33" s="283">
        <v>0</v>
      </c>
      <c r="AM33" s="284">
        <v>0</v>
      </c>
      <c r="AN33" s="284">
        <v>0</v>
      </c>
      <c r="AO33" s="284">
        <v>0</v>
      </c>
      <c r="AP33" s="284">
        <v>0</v>
      </c>
      <c r="AQ33" s="284">
        <v>0</v>
      </c>
      <c r="AR33" s="284">
        <v>0</v>
      </c>
      <c r="AS33" s="285">
        <v>0</v>
      </c>
      <c r="AT33" s="283">
        <v>61</v>
      </c>
      <c r="AU33" s="284">
        <v>8</v>
      </c>
      <c r="AV33" s="284">
        <v>1</v>
      </c>
      <c r="AW33" s="284">
        <v>12</v>
      </c>
      <c r="AX33" s="284">
        <v>0</v>
      </c>
      <c r="AY33" s="284">
        <v>0</v>
      </c>
      <c r="AZ33" s="284">
        <v>0</v>
      </c>
      <c r="BA33" s="285">
        <v>16</v>
      </c>
      <c r="BB33" s="37">
        <v>31.5</v>
      </c>
    </row>
    <row r="34" spans="1:54" ht="20.100000000000001" customHeight="1" x14ac:dyDescent="0.4">
      <c r="A34" s="268">
        <v>45</v>
      </c>
      <c r="B34" s="269" t="s">
        <v>164</v>
      </c>
      <c r="C34" s="269" t="s">
        <v>165</v>
      </c>
      <c r="D34" s="270" t="s">
        <v>203</v>
      </c>
      <c r="E34" s="13"/>
      <c r="F34" s="4"/>
      <c r="G34" s="4" t="s">
        <v>102</v>
      </c>
      <c r="H34" s="4"/>
      <c r="I34" s="4"/>
      <c r="J34" s="4" t="s">
        <v>125</v>
      </c>
      <c r="K34" s="4" t="s">
        <v>125</v>
      </c>
      <c r="L34" s="4"/>
      <c r="M34" s="4"/>
      <c r="N34" s="4"/>
      <c r="O34" s="4"/>
      <c r="P34" s="4"/>
      <c r="Q34" s="4"/>
      <c r="R34" s="4"/>
      <c r="S34" s="4"/>
      <c r="T34" s="4" t="s">
        <v>350</v>
      </c>
      <c r="U34" s="4" t="s">
        <v>238</v>
      </c>
      <c r="V34" s="4"/>
      <c r="W34" s="4"/>
      <c r="X34" s="4"/>
      <c r="Y34" s="4"/>
      <c r="Z34" s="4"/>
      <c r="AA34" s="4" t="s">
        <v>350</v>
      </c>
      <c r="AB34" s="4" t="s">
        <v>238</v>
      </c>
      <c r="AC34" s="4" t="s">
        <v>125</v>
      </c>
      <c r="AD34" s="4"/>
      <c r="AE34" s="4"/>
      <c r="AF34" s="4" t="s">
        <v>226</v>
      </c>
      <c r="AG34" s="4" t="s">
        <v>226</v>
      </c>
      <c r="AH34" s="4"/>
      <c r="AI34" s="4"/>
      <c r="AJ34" s="4"/>
      <c r="AK34" s="119"/>
      <c r="AL34" s="286">
        <v>0</v>
      </c>
      <c r="AM34" s="287">
        <v>0</v>
      </c>
      <c r="AN34" s="287">
        <v>0</v>
      </c>
      <c r="AO34" s="287">
        <v>2</v>
      </c>
      <c r="AP34" s="287">
        <v>0</v>
      </c>
      <c r="AQ34" s="287">
        <v>0</v>
      </c>
      <c r="AR34" s="287">
        <v>2</v>
      </c>
      <c r="AS34" s="288">
        <v>0</v>
      </c>
      <c r="AT34" s="286">
        <v>61</v>
      </c>
      <c r="AU34" s="287">
        <v>6</v>
      </c>
      <c r="AV34" s="287">
        <v>4</v>
      </c>
      <c r="AW34" s="287">
        <v>12</v>
      </c>
      <c r="AX34" s="287">
        <v>0</v>
      </c>
      <c r="AY34" s="287">
        <v>1</v>
      </c>
      <c r="AZ34" s="287">
        <v>15</v>
      </c>
      <c r="BA34" s="288">
        <v>6</v>
      </c>
      <c r="BB34" s="121">
        <v>32</v>
      </c>
    </row>
    <row r="35" spans="1:54" ht="20.100000000000001" customHeight="1" x14ac:dyDescent="0.4">
      <c r="A35" s="271">
        <v>46</v>
      </c>
      <c r="B35" s="272" t="s">
        <v>166</v>
      </c>
      <c r="C35" s="272" t="s">
        <v>167</v>
      </c>
      <c r="D35" s="273" t="s">
        <v>203</v>
      </c>
      <c r="E35" s="124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6"/>
      <c r="AL35" s="289">
        <v>0</v>
      </c>
      <c r="AM35" s="290">
        <v>0</v>
      </c>
      <c r="AN35" s="290">
        <v>0</v>
      </c>
      <c r="AO35" s="290">
        <v>0</v>
      </c>
      <c r="AP35" s="290">
        <v>0</v>
      </c>
      <c r="AQ35" s="290">
        <v>0</v>
      </c>
      <c r="AR35" s="290">
        <v>0</v>
      </c>
      <c r="AS35" s="291">
        <v>0</v>
      </c>
      <c r="AT35" s="289">
        <v>61</v>
      </c>
      <c r="AU35" s="290">
        <v>8</v>
      </c>
      <c r="AV35" s="290">
        <v>2</v>
      </c>
      <c r="AW35" s="290">
        <v>12</v>
      </c>
      <c r="AX35" s="290">
        <v>3</v>
      </c>
      <c r="AY35" s="290">
        <v>0</v>
      </c>
      <c r="AZ35" s="290">
        <v>0</v>
      </c>
      <c r="BA35" s="291">
        <v>0</v>
      </c>
      <c r="BB35" s="127">
        <v>31</v>
      </c>
    </row>
    <row r="36" spans="1:54" ht="20.100000000000001" customHeight="1" x14ac:dyDescent="0.4">
      <c r="A36" s="274">
        <v>73</v>
      </c>
      <c r="B36" s="275" t="s">
        <v>172</v>
      </c>
      <c r="C36" s="275" t="s">
        <v>173</v>
      </c>
      <c r="D36" s="276" t="s">
        <v>203</v>
      </c>
      <c r="E36" s="12" t="s">
        <v>223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117"/>
      <c r="AL36" s="280">
        <v>0</v>
      </c>
      <c r="AM36" s="281">
        <v>0</v>
      </c>
      <c r="AN36" s="281">
        <v>0</v>
      </c>
      <c r="AO36" s="281">
        <v>0</v>
      </c>
      <c r="AP36" s="281">
        <v>0</v>
      </c>
      <c r="AQ36" s="281">
        <v>0</v>
      </c>
      <c r="AR36" s="281">
        <v>0</v>
      </c>
      <c r="AS36" s="282">
        <v>0</v>
      </c>
      <c r="AT36" s="280">
        <v>61</v>
      </c>
      <c r="AU36" s="281">
        <v>8</v>
      </c>
      <c r="AV36" s="281">
        <v>1</v>
      </c>
      <c r="AW36" s="281">
        <v>12</v>
      </c>
      <c r="AX36" s="281">
        <v>0</v>
      </c>
      <c r="AY36" s="281">
        <v>3</v>
      </c>
      <c r="AZ36" s="281">
        <v>18</v>
      </c>
      <c r="BA36" s="282">
        <v>3</v>
      </c>
      <c r="BB36" s="120">
        <v>31.5</v>
      </c>
    </row>
    <row r="37" spans="1:54" ht="20.100000000000001" customHeight="1" x14ac:dyDescent="0.4">
      <c r="A37" s="265">
        <v>67</v>
      </c>
      <c r="B37" s="266" t="s">
        <v>178</v>
      </c>
      <c r="C37" s="266" t="s">
        <v>179</v>
      </c>
      <c r="D37" s="267" t="s">
        <v>203</v>
      </c>
      <c r="E37" s="9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 t="s">
        <v>125</v>
      </c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118"/>
      <c r="AL37" s="283">
        <v>0</v>
      </c>
      <c r="AM37" s="284">
        <v>0</v>
      </c>
      <c r="AN37" s="284">
        <v>0</v>
      </c>
      <c r="AO37" s="284">
        <v>0</v>
      </c>
      <c r="AP37" s="284">
        <v>0</v>
      </c>
      <c r="AQ37" s="284">
        <v>0</v>
      </c>
      <c r="AR37" s="284">
        <v>0</v>
      </c>
      <c r="AS37" s="285">
        <v>0</v>
      </c>
      <c r="AT37" s="283">
        <v>61</v>
      </c>
      <c r="AU37" s="284">
        <v>11</v>
      </c>
      <c r="AV37" s="284">
        <v>0</v>
      </c>
      <c r="AW37" s="284">
        <v>12</v>
      </c>
      <c r="AX37" s="284">
        <v>0</v>
      </c>
      <c r="AY37" s="284">
        <v>2</v>
      </c>
      <c r="AZ37" s="284">
        <v>21</v>
      </c>
      <c r="BA37" s="285">
        <v>4</v>
      </c>
      <c r="BB37" s="37">
        <v>-8</v>
      </c>
    </row>
    <row r="38" spans="1:54" ht="20.100000000000001" customHeight="1" x14ac:dyDescent="0.4">
      <c r="A38" s="265">
        <v>93</v>
      </c>
      <c r="B38" s="266" t="s">
        <v>115</v>
      </c>
      <c r="C38" s="266" t="s">
        <v>116</v>
      </c>
      <c r="D38" s="267" t="s">
        <v>203</v>
      </c>
      <c r="E38" s="9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 t="s">
        <v>102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118"/>
      <c r="AL38" s="283">
        <v>0</v>
      </c>
      <c r="AM38" s="284">
        <v>0</v>
      </c>
      <c r="AN38" s="284">
        <v>0</v>
      </c>
      <c r="AO38" s="284">
        <v>0</v>
      </c>
      <c r="AP38" s="284">
        <v>0</v>
      </c>
      <c r="AQ38" s="284">
        <v>0</v>
      </c>
      <c r="AR38" s="284">
        <v>0</v>
      </c>
      <c r="AS38" s="285">
        <v>0</v>
      </c>
      <c r="AT38" s="283">
        <v>61</v>
      </c>
      <c r="AU38" s="284">
        <v>7</v>
      </c>
      <c r="AV38" s="284">
        <v>0</v>
      </c>
      <c r="AW38" s="284">
        <v>12</v>
      </c>
      <c r="AX38" s="284">
        <v>0</v>
      </c>
      <c r="AY38" s="284">
        <v>5</v>
      </c>
      <c r="AZ38" s="284">
        <v>11</v>
      </c>
      <c r="BA38" s="285">
        <v>6</v>
      </c>
      <c r="BB38" s="37">
        <v>3</v>
      </c>
    </row>
    <row r="39" spans="1:54" ht="20.100000000000001" customHeight="1" x14ac:dyDescent="0.4">
      <c r="A39" s="268">
        <v>12</v>
      </c>
      <c r="B39" s="269" t="s">
        <v>132</v>
      </c>
      <c r="C39" s="269" t="s">
        <v>133</v>
      </c>
      <c r="D39" s="270" t="s">
        <v>206</v>
      </c>
      <c r="E39" s="1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119"/>
      <c r="AL39" s="286">
        <v>0</v>
      </c>
      <c r="AM39" s="287">
        <v>0</v>
      </c>
      <c r="AN39" s="287">
        <v>0</v>
      </c>
      <c r="AO39" s="287">
        <v>0</v>
      </c>
      <c r="AP39" s="287">
        <v>0</v>
      </c>
      <c r="AQ39" s="287">
        <v>0</v>
      </c>
      <c r="AR39" s="287">
        <v>0</v>
      </c>
      <c r="AS39" s="288">
        <v>0</v>
      </c>
      <c r="AT39" s="286">
        <v>61</v>
      </c>
      <c r="AU39" s="287">
        <v>5</v>
      </c>
      <c r="AV39" s="287">
        <v>2</v>
      </c>
      <c r="AW39" s="287">
        <v>12</v>
      </c>
      <c r="AX39" s="287">
        <v>0</v>
      </c>
      <c r="AY39" s="287">
        <v>0</v>
      </c>
      <c r="AZ39" s="287">
        <v>14</v>
      </c>
      <c r="BA39" s="288">
        <v>6</v>
      </c>
      <c r="BB39" s="121">
        <v>34</v>
      </c>
    </row>
    <row r="40" spans="1:54" ht="20.100000000000001" customHeight="1" x14ac:dyDescent="0.4">
      <c r="A40" s="271">
        <v>13</v>
      </c>
      <c r="B40" s="272" t="s">
        <v>134</v>
      </c>
      <c r="C40" s="272" t="s">
        <v>135</v>
      </c>
      <c r="D40" s="273" t="s">
        <v>206</v>
      </c>
      <c r="E40" s="124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6"/>
      <c r="AL40" s="289">
        <v>0</v>
      </c>
      <c r="AM40" s="290">
        <v>0</v>
      </c>
      <c r="AN40" s="290">
        <v>0</v>
      </c>
      <c r="AO40" s="290">
        <v>0</v>
      </c>
      <c r="AP40" s="290">
        <v>0</v>
      </c>
      <c r="AQ40" s="290">
        <v>0</v>
      </c>
      <c r="AR40" s="290">
        <v>0</v>
      </c>
      <c r="AS40" s="291">
        <v>0</v>
      </c>
      <c r="AT40" s="289">
        <v>61</v>
      </c>
      <c r="AU40" s="290">
        <v>7</v>
      </c>
      <c r="AV40" s="290">
        <v>1</v>
      </c>
      <c r="AW40" s="290">
        <v>12</v>
      </c>
      <c r="AX40" s="290">
        <v>0</v>
      </c>
      <c r="AY40" s="290">
        <v>0</v>
      </c>
      <c r="AZ40" s="290">
        <v>0</v>
      </c>
      <c r="BA40" s="291">
        <v>0</v>
      </c>
      <c r="BB40" s="127">
        <v>32.5</v>
      </c>
    </row>
    <row r="41" spans="1:54" ht="20.100000000000001" customHeight="1" x14ac:dyDescent="0.4">
      <c r="A41" s="274">
        <v>96</v>
      </c>
      <c r="B41" s="275" t="s">
        <v>148</v>
      </c>
      <c r="C41" s="275" t="s">
        <v>149</v>
      </c>
      <c r="D41" s="276" t="s">
        <v>206</v>
      </c>
      <c r="E41" s="12"/>
      <c r="F41" s="2"/>
      <c r="G41" s="2"/>
      <c r="H41" s="2"/>
      <c r="I41" s="2" t="s">
        <v>226</v>
      </c>
      <c r="J41" s="2" t="s">
        <v>226</v>
      </c>
      <c r="K41" s="2" t="s">
        <v>226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117"/>
      <c r="AL41" s="280">
        <v>0</v>
      </c>
      <c r="AM41" s="281">
        <v>0</v>
      </c>
      <c r="AN41" s="281">
        <v>0</v>
      </c>
      <c r="AO41" s="281">
        <v>3</v>
      </c>
      <c r="AP41" s="281">
        <v>0</v>
      </c>
      <c r="AQ41" s="281">
        <v>0</v>
      </c>
      <c r="AR41" s="281">
        <v>0</v>
      </c>
      <c r="AS41" s="282">
        <v>0</v>
      </c>
      <c r="AT41" s="280">
        <v>61</v>
      </c>
      <c r="AU41" s="281">
        <v>6</v>
      </c>
      <c r="AV41" s="281">
        <v>0</v>
      </c>
      <c r="AW41" s="281">
        <v>12</v>
      </c>
      <c r="AX41" s="281">
        <v>0</v>
      </c>
      <c r="AY41" s="281">
        <v>1</v>
      </c>
      <c r="AZ41" s="281">
        <v>12</v>
      </c>
      <c r="BA41" s="282">
        <v>7</v>
      </c>
      <c r="BB41" s="120">
        <v>34</v>
      </c>
    </row>
    <row r="42" spans="1:54" ht="20.100000000000001" customHeight="1" x14ac:dyDescent="0.4">
      <c r="A42" s="265">
        <v>40</v>
      </c>
      <c r="B42" s="266" t="s">
        <v>158</v>
      </c>
      <c r="C42" s="266" t="s">
        <v>159</v>
      </c>
      <c r="D42" s="267" t="s">
        <v>206</v>
      </c>
      <c r="E42" s="9"/>
      <c r="F42" s="3"/>
      <c r="G42" s="3" t="s">
        <v>227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 t="s">
        <v>227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118"/>
      <c r="AL42" s="283">
        <v>0</v>
      </c>
      <c r="AM42" s="284">
        <v>0</v>
      </c>
      <c r="AN42" s="284">
        <v>0</v>
      </c>
      <c r="AO42" s="284">
        <v>0</v>
      </c>
      <c r="AP42" s="284">
        <v>2</v>
      </c>
      <c r="AQ42" s="284">
        <v>0</v>
      </c>
      <c r="AR42" s="284">
        <v>0</v>
      </c>
      <c r="AS42" s="285">
        <v>0</v>
      </c>
      <c r="AT42" s="283">
        <v>61</v>
      </c>
      <c r="AU42" s="284">
        <v>13</v>
      </c>
      <c r="AV42" s="284">
        <v>5</v>
      </c>
      <c r="AW42" s="284">
        <v>12</v>
      </c>
      <c r="AX42" s="284">
        <v>27</v>
      </c>
      <c r="AY42" s="284">
        <v>0</v>
      </c>
      <c r="AZ42" s="284">
        <v>0</v>
      </c>
      <c r="BA42" s="285">
        <v>0</v>
      </c>
      <c r="BB42" s="37">
        <v>24.5</v>
      </c>
    </row>
    <row r="43" spans="1:54" ht="20.100000000000001" customHeight="1" x14ac:dyDescent="0.4">
      <c r="A43" s="265">
        <v>42</v>
      </c>
      <c r="B43" s="266" t="s">
        <v>160</v>
      </c>
      <c r="C43" s="266" t="s">
        <v>161</v>
      </c>
      <c r="D43" s="267" t="s">
        <v>206</v>
      </c>
      <c r="E43" s="9" t="s">
        <v>223</v>
      </c>
      <c r="F43" s="3"/>
      <c r="G43" s="3" t="s">
        <v>226</v>
      </c>
      <c r="H43" s="3"/>
      <c r="I43" s="3"/>
      <c r="J43" s="3"/>
      <c r="K43" s="3"/>
      <c r="L43" s="3"/>
      <c r="M43" s="3" t="s">
        <v>125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118"/>
      <c r="AL43" s="283">
        <v>0</v>
      </c>
      <c r="AM43" s="284">
        <v>0</v>
      </c>
      <c r="AN43" s="284">
        <v>0</v>
      </c>
      <c r="AO43" s="284">
        <v>1</v>
      </c>
      <c r="AP43" s="284">
        <v>0</v>
      </c>
      <c r="AQ43" s="284">
        <v>0</v>
      </c>
      <c r="AR43" s="284">
        <v>0</v>
      </c>
      <c r="AS43" s="285">
        <v>0</v>
      </c>
      <c r="AT43" s="283">
        <v>61</v>
      </c>
      <c r="AU43" s="284">
        <v>7</v>
      </c>
      <c r="AV43" s="284">
        <v>0</v>
      </c>
      <c r="AW43" s="284">
        <v>12</v>
      </c>
      <c r="AX43" s="284">
        <v>0</v>
      </c>
      <c r="AY43" s="284">
        <v>1</v>
      </c>
      <c r="AZ43" s="284">
        <v>16</v>
      </c>
      <c r="BA43" s="285">
        <v>3</v>
      </c>
      <c r="BB43" s="37">
        <v>33</v>
      </c>
    </row>
    <row r="44" spans="1:54" ht="20.100000000000001" customHeight="1" x14ac:dyDescent="0.4">
      <c r="A44" s="268">
        <v>98</v>
      </c>
      <c r="B44" s="269" t="s">
        <v>82</v>
      </c>
      <c r="C44" s="269" t="s">
        <v>83</v>
      </c>
      <c r="D44" s="270" t="s">
        <v>64</v>
      </c>
      <c r="E44" s="13"/>
      <c r="F44" s="4"/>
      <c r="G44" s="4" t="s">
        <v>102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s">
        <v>32</v>
      </c>
      <c r="AC44" s="4" t="s">
        <v>32</v>
      </c>
      <c r="AD44" s="4" t="s">
        <v>226</v>
      </c>
      <c r="AE44" s="4"/>
      <c r="AF44" s="4"/>
      <c r="AG44" s="4"/>
      <c r="AH44" s="4"/>
      <c r="AI44" s="4"/>
      <c r="AJ44" s="4"/>
      <c r="AK44" s="119"/>
      <c r="AL44" s="286">
        <v>0</v>
      </c>
      <c r="AM44" s="287">
        <v>0</v>
      </c>
      <c r="AN44" s="287">
        <v>0</v>
      </c>
      <c r="AO44" s="287">
        <v>1</v>
      </c>
      <c r="AP44" s="287">
        <v>0</v>
      </c>
      <c r="AQ44" s="287">
        <v>0</v>
      </c>
      <c r="AR44" s="287">
        <v>0</v>
      </c>
      <c r="AS44" s="288">
        <v>0</v>
      </c>
      <c r="AT44" s="286">
        <v>61</v>
      </c>
      <c r="AU44" s="287">
        <v>7</v>
      </c>
      <c r="AV44" s="287">
        <v>2</v>
      </c>
      <c r="AW44" s="287">
        <v>12</v>
      </c>
      <c r="AX44" s="287">
        <v>0</v>
      </c>
      <c r="AY44" s="287">
        <v>0</v>
      </c>
      <c r="AZ44" s="287">
        <v>0</v>
      </c>
      <c r="BA44" s="288">
        <v>12</v>
      </c>
      <c r="BB44" s="121">
        <v>32</v>
      </c>
    </row>
    <row r="45" spans="1:54" ht="20.100000000000001" customHeight="1" x14ac:dyDescent="0.4">
      <c r="A45" s="271">
        <v>18</v>
      </c>
      <c r="B45" s="272" t="s">
        <v>103</v>
      </c>
      <c r="C45" s="272" t="s">
        <v>104</v>
      </c>
      <c r="D45" s="273" t="s">
        <v>64</v>
      </c>
      <c r="E45" s="124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6"/>
      <c r="AL45" s="289">
        <v>0</v>
      </c>
      <c r="AM45" s="290">
        <v>0</v>
      </c>
      <c r="AN45" s="290">
        <v>0</v>
      </c>
      <c r="AO45" s="290">
        <v>0</v>
      </c>
      <c r="AP45" s="290">
        <v>0</v>
      </c>
      <c r="AQ45" s="290">
        <v>0</v>
      </c>
      <c r="AR45" s="290">
        <v>0</v>
      </c>
      <c r="AS45" s="291">
        <v>0</v>
      </c>
      <c r="AT45" s="289">
        <v>61</v>
      </c>
      <c r="AU45" s="290">
        <v>7</v>
      </c>
      <c r="AV45" s="290">
        <v>9</v>
      </c>
      <c r="AW45" s="290">
        <v>12</v>
      </c>
      <c r="AX45" s="290">
        <v>0</v>
      </c>
      <c r="AY45" s="290">
        <v>0</v>
      </c>
      <c r="AZ45" s="290">
        <v>0</v>
      </c>
      <c r="BA45" s="291">
        <v>16</v>
      </c>
      <c r="BB45" s="127">
        <v>28.5</v>
      </c>
    </row>
    <row r="46" spans="1:54" ht="20.100000000000001" customHeight="1" x14ac:dyDescent="0.4">
      <c r="A46" s="274">
        <v>19</v>
      </c>
      <c r="B46" s="275" t="s">
        <v>65</v>
      </c>
      <c r="C46" s="275" t="s">
        <v>66</v>
      </c>
      <c r="D46" s="276" t="s">
        <v>64</v>
      </c>
      <c r="E46" s="12"/>
      <c r="F46" s="2"/>
      <c r="G46" s="2" t="s">
        <v>227</v>
      </c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 t="s">
        <v>227</v>
      </c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117"/>
      <c r="AL46" s="280">
        <v>0</v>
      </c>
      <c r="AM46" s="281">
        <v>0</v>
      </c>
      <c r="AN46" s="281">
        <v>0</v>
      </c>
      <c r="AO46" s="281">
        <v>0</v>
      </c>
      <c r="AP46" s="281">
        <v>2</v>
      </c>
      <c r="AQ46" s="281">
        <v>0</v>
      </c>
      <c r="AR46" s="281">
        <v>0</v>
      </c>
      <c r="AS46" s="282">
        <v>0</v>
      </c>
      <c r="AT46" s="280">
        <v>61</v>
      </c>
      <c r="AU46" s="281">
        <v>7</v>
      </c>
      <c r="AV46" s="281">
        <v>10</v>
      </c>
      <c r="AW46" s="281">
        <v>12</v>
      </c>
      <c r="AX46" s="281">
        <v>27</v>
      </c>
      <c r="AY46" s="281">
        <v>0</v>
      </c>
      <c r="AZ46" s="281">
        <v>0</v>
      </c>
      <c r="BA46" s="282">
        <v>0</v>
      </c>
      <c r="BB46" s="120">
        <v>28</v>
      </c>
    </row>
    <row r="47" spans="1:54" ht="20.100000000000001" customHeight="1" x14ac:dyDescent="0.4">
      <c r="A47" s="265">
        <v>28</v>
      </c>
      <c r="B47" s="266" t="s">
        <v>67</v>
      </c>
      <c r="C47" s="266" t="s">
        <v>7</v>
      </c>
      <c r="D47" s="267" t="s">
        <v>64</v>
      </c>
      <c r="E47" s="9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 t="s">
        <v>32</v>
      </c>
      <c r="R47" s="3"/>
      <c r="S47" s="3"/>
      <c r="T47" s="3"/>
      <c r="U47" s="3"/>
      <c r="V47" s="3"/>
      <c r="W47" s="3"/>
      <c r="X47" s="3"/>
      <c r="Y47" s="3"/>
      <c r="Z47" s="3" t="s">
        <v>349</v>
      </c>
      <c r="AA47" s="3" t="s">
        <v>238</v>
      </c>
      <c r="AB47" s="3" t="s">
        <v>32</v>
      </c>
      <c r="AC47" s="3" t="s">
        <v>32</v>
      </c>
      <c r="AD47" s="3" t="s">
        <v>226</v>
      </c>
      <c r="AE47" s="3"/>
      <c r="AF47" s="3"/>
      <c r="AG47" s="3"/>
      <c r="AH47" s="3"/>
      <c r="AI47" s="3"/>
      <c r="AJ47" s="3"/>
      <c r="AK47" s="118"/>
      <c r="AL47" s="283">
        <v>0</v>
      </c>
      <c r="AM47" s="284">
        <v>0</v>
      </c>
      <c r="AN47" s="284">
        <v>0</v>
      </c>
      <c r="AO47" s="284">
        <v>1</v>
      </c>
      <c r="AP47" s="284">
        <v>0</v>
      </c>
      <c r="AQ47" s="284">
        <v>0</v>
      </c>
      <c r="AR47" s="284">
        <v>1</v>
      </c>
      <c r="AS47" s="285">
        <v>0</v>
      </c>
      <c r="AT47" s="283">
        <v>61</v>
      </c>
      <c r="AU47" s="284">
        <v>6</v>
      </c>
      <c r="AV47" s="284">
        <v>1</v>
      </c>
      <c r="AW47" s="284">
        <v>12</v>
      </c>
      <c r="AX47" s="284">
        <v>0</v>
      </c>
      <c r="AY47" s="284">
        <v>5</v>
      </c>
      <c r="AZ47" s="284">
        <v>17</v>
      </c>
      <c r="BA47" s="285">
        <v>4</v>
      </c>
      <c r="BB47" s="37">
        <v>33.5</v>
      </c>
    </row>
    <row r="48" spans="1:54" ht="20.100000000000001" customHeight="1" x14ac:dyDescent="0.4">
      <c r="A48" s="265">
        <v>29</v>
      </c>
      <c r="B48" s="266" t="s">
        <v>68</v>
      </c>
      <c r="C48" s="266" t="s">
        <v>69</v>
      </c>
      <c r="D48" s="267" t="s">
        <v>64</v>
      </c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118"/>
      <c r="AL48" s="283">
        <v>0</v>
      </c>
      <c r="AM48" s="284">
        <v>0</v>
      </c>
      <c r="AN48" s="284">
        <v>0</v>
      </c>
      <c r="AO48" s="284">
        <v>0</v>
      </c>
      <c r="AP48" s="284">
        <v>0</v>
      </c>
      <c r="AQ48" s="284">
        <v>0</v>
      </c>
      <c r="AR48" s="284">
        <v>0</v>
      </c>
      <c r="AS48" s="285">
        <v>0</v>
      </c>
      <c r="AT48" s="283">
        <v>61</v>
      </c>
      <c r="AU48" s="284">
        <v>7</v>
      </c>
      <c r="AV48" s="284">
        <v>1</v>
      </c>
      <c r="AW48" s="284">
        <v>12</v>
      </c>
      <c r="AX48" s="284">
        <v>0</v>
      </c>
      <c r="AY48" s="284">
        <v>0</v>
      </c>
      <c r="AZ48" s="284">
        <v>0</v>
      </c>
      <c r="BA48" s="285">
        <v>14</v>
      </c>
      <c r="BB48" s="37">
        <v>32.5</v>
      </c>
    </row>
    <row r="49" spans="1:54" ht="20.100000000000001" customHeight="1" x14ac:dyDescent="0.4">
      <c r="A49" s="268">
        <v>33</v>
      </c>
      <c r="B49" s="269" t="s">
        <v>109</v>
      </c>
      <c r="C49" s="269" t="s">
        <v>110</v>
      </c>
      <c r="D49" s="270" t="s">
        <v>64</v>
      </c>
      <c r="E49" s="1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s">
        <v>32</v>
      </c>
      <c r="AC49" s="4" t="s">
        <v>32</v>
      </c>
      <c r="AD49" s="4" t="s">
        <v>226</v>
      </c>
      <c r="AE49" s="4" t="s">
        <v>226</v>
      </c>
      <c r="AF49" s="4" t="s">
        <v>226</v>
      </c>
      <c r="AG49" s="4" t="s">
        <v>226</v>
      </c>
      <c r="AH49" s="4" t="s">
        <v>32</v>
      </c>
      <c r="AI49" s="4" t="s">
        <v>32</v>
      </c>
      <c r="AJ49" s="4" t="s">
        <v>32</v>
      </c>
      <c r="AK49" s="119"/>
      <c r="AL49" s="286">
        <v>0</v>
      </c>
      <c r="AM49" s="287">
        <v>0</v>
      </c>
      <c r="AN49" s="287">
        <v>0</v>
      </c>
      <c r="AO49" s="287">
        <v>4</v>
      </c>
      <c r="AP49" s="287">
        <v>0</v>
      </c>
      <c r="AQ49" s="287">
        <v>0</v>
      </c>
      <c r="AR49" s="287">
        <v>0</v>
      </c>
      <c r="AS49" s="288">
        <v>0</v>
      </c>
      <c r="AT49" s="286">
        <v>40</v>
      </c>
      <c r="AU49" s="287">
        <v>8</v>
      </c>
      <c r="AV49" s="287">
        <v>0</v>
      </c>
      <c r="AW49" s="287">
        <v>12</v>
      </c>
      <c r="AX49" s="287">
        <v>95</v>
      </c>
      <c r="AY49" s="287">
        <v>4</v>
      </c>
      <c r="AZ49" s="287">
        <v>10</v>
      </c>
      <c r="BA49" s="288">
        <v>3</v>
      </c>
      <c r="BB49" s="121">
        <v>32</v>
      </c>
    </row>
    <row r="50" spans="1:54" ht="20.100000000000001" customHeight="1" x14ac:dyDescent="0.4">
      <c r="A50" s="271">
        <v>47</v>
      </c>
      <c r="B50" s="272" t="s">
        <v>70</v>
      </c>
      <c r="C50" s="272" t="s">
        <v>71</v>
      </c>
      <c r="D50" s="273" t="s">
        <v>64</v>
      </c>
      <c r="E50" s="124"/>
      <c r="F50" s="125"/>
      <c r="G50" s="125"/>
      <c r="H50" s="125"/>
      <c r="I50" s="125" t="s">
        <v>226</v>
      </c>
      <c r="J50" s="125" t="s">
        <v>226</v>
      </c>
      <c r="K50" s="125" t="s">
        <v>226</v>
      </c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6"/>
      <c r="AL50" s="289">
        <v>0</v>
      </c>
      <c r="AM50" s="290">
        <v>0</v>
      </c>
      <c r="AN50" s="290">
        <v>0</v>
      </c>
      <c r="AO50" s="290">
        <v>3</v>
      </c>
      <c r="AP50" s="290">
        <v>0</v>
      </c>
      <c r="AQ50" s="290">
        <v>0</v>
      </c>
      <c r="AR50" s="290">
        <v>0</v>
      </c>
      <c r="AS50" s="291">
        <v>0</v>
      </c>
      <c r="AT50" s="289">
        <v>59</v>
      </c>
      <c r="AU50" s="290">
        <v>7</v>
      </c>
      <c r="AV50" s="290">
        <v>6</v>
      </c>
      <c r="AW50" s="290">
        <v>12</v>
      </c>
      <c r="AX50" s="290">
        <v>9</v>
      </c>
      <c r="AY50" s="290">
        <v>0</v>
      </c>
      <c r="AZ50" s="290">
        <v>2</v>
      </c>
      <c r="BA50" s="291">
        <v>9</v>
      </c>
      <c r="BB50" s="127">
        <v>30</v>
      </c>
    </row>
    <row r="51" spans="1:54" ht="20.100000000000001" customHeight="1" x14ac:dyDescent="0.4">
      <c r="A51" s="274">
        <v>78</v>
      </c>
      <c r="B51" s="275" t="s">
        <v>96</v>
      </c>
      <c r="C51" s="275" t="s">
        <v>97</v>
      </c>
      <c r="D51" s="276" t="s">
        <v>64</v>
      </c>
      <c r="E51" s="1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 t="s">
        <v>32</v>
      </c>
      <c r="W51" s="2" t="s">
        <v>226</v>
      </c>
      <c r="X51" s="2" t="s">
        <v>226</v>
      </c>
      <c r="Y51" s="2" t="s">
        <v>226</v>
      </c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117"/>
      <c r="AL51" s="280">
        <v>0</v>
      </c>
      <c r="AM51" s="281">
        <v>0</v>
      </c>
      <c r="AN51" s="281">
        <v>0</v>
      </c>
      <c r="AO51" s="281">
        <v>3</v>
      </c>
      <c r="AP51" s="281">
        <v>0</v>
      </c>
      <c r="AQ51" s="281">
        <v>0</v>
      </c>
      <c r="AR51" s="281">
        <v>0</v>
      </c>
      <c r="AS51" s="282">
        <v>0</v>
      </c>
      <c r="AT51" s="280">
        <v>60</v>
      </c>
      <c r="AU51" s="281">
        <v>8</v>
      </c>
      <c r="AV51" s="281">
        <v>1</v>
      </c>
      <c r="AW51" s="281">
        <v>12</v>
      </c>
      <c r="AX51" s="281">
        <v>7</v>
      </c>
      <c r="AY51" s="281">
        <v>2</v>
      </c>
      <c r="AZ51" s="281">
        <v>22</v>
      </c>
      <c r="BA51" s="282">
        <v>2</v>
      </c>
      <c r="BB51" s="120">
        <v>16.5</v>
      </c>
    </row>
    <row r="52" spans="1:54" ht="20.100000000000001" customHeight="1" x14ac:dyDescent="0.4">
      <c r="A52" s="265">
        <v>85</v>
      </c>
      <c r="B52" s="266" t="s">
        <v>74</v>
      </c>
      <c r="C52" s="266" t="s">
        <v>75</v>
      </c>
      <c r="D52" s="267" t="s">
        <v>64</v>
      </c>
      <c r="E52" s="9" t="s">
        <v>238</v>
      </c>
      <c r="F52" s="3"/>
      <c r="G52" s="3"/>
      <c r="H52" s="3"/>
      <c r="I52" s="3"/>
      <c r="J52" s="3"/>
      <c r="K52" s="3"/>
      <c r="L52" s="3"/>
      <c r="M52" s="3"/>
      <c r="N52" s="3" t="s">
        <v>32</v>
      </c>
      <c r="O52" s="3" t="s">
        <v>32</v>
      </c>
      <c r="P52" s="3" t="s">
        <v>226</v>
      </c>
      <c r="Q52" s="3" t="s">
        <v>226</v>
      </c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118" t="s">
        <v>32</v>
      </c>
      <c r="AL52" s="283">
        <v>0</v>
      </c>
      <c r="AM52" s="284">
        <v>0</v>
      </c>
      <c r="AN52" s="284">
        <v>0</v>
      </c>
      <c r="AO52" s="284">
        <v>2</v>
      </c>
      <c r="AP52" s="284">
        <v>0</v>
      </c>
      <c r="AQ52" s="284">
        <v>0</v>
      </c>
      <c r="AR52" s="284">
        <v>0</v>
      </c>
      <c r="AS52" s="285">
        <v>0</v>
      </c>
      <c r="AT52" s="283">
        <v>61</v>
      </c>
      <c r="AU52" s="284">
        <v>10</v>
      </c>
      <c r="AV52" s="284">
        <v>2</v>
      </c>
      <c r="AW52" s="284">
        <v>12</v>
      </c>
      <c r="AX52" s="284">
        <v>0</v>
      </c>
      <c r="AY52" s="284">
        <v>0</v>
      </c>
      <c r="AZ52" s="284">
        <v>18</v>
      </c>
      <c r="BA52" s="285">
        <v>1</v>
      </c>
      <c r="BB52" s="37">
        <v>12</v>
      </c>
    </row>
    <row r="53" spans="1:54" ht="20.100000000000001" customHeight="1" x14ac:dyDescent="0.4">
      <c r="A53" s="265">
        <v>79</v>
      </c>
      <c r="B53" s="266" t="s">
        <v>80</v>
      </c>
      <c r="C53" s="266" t="s">
        <v>81</v>
      </c>
      <c r="D53" s="267" t="s">
        <v>19</v>
      </c>
      <c r="E53" s="9"/>
      <c r="F53" s="3"/>
      <c r="G53" s="3"/>
      <c r="H53" s="3"/>
      <c r="I53" s="3"/>
      <c r="J53" s="3"/>
      <c r="K53" s="3"/>
      <c r="L53" s="3"/>
      <c r="M53" s="3"/>
      <c r="N53" s="3"/>
      <c r="O53" s="3" t="s">
        <v>32</v>
      </c>
      <c r="P53" s="3" t="s">
        <v>226</v>
      </c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118"/>
      <c r="AL53" s="283">
        <v>0</v>
      </c>
      <c r="AM53" s="284">
        <v>0</v>
      </c>
      <c r="AN53" s="284">
        <v>0</v>
      </c>
      <c r="AO53" s="284">
        <v>1</v>
      </c>
      <c r="AP53" s="284">
        <v>0</v>
      </c>
      <c r="AQ53" s="284">
        <v>0</v>
      </c>
      <c r="AR53" s="284">
        <v>0</v>
      </c>
      <c r="AS53" s="285">
        <v>0</v>
      </c>
      <c r="AT53" s="283">
        <v>58</v>
      </c>
      <c r="AU53" s="284">
        <v>15</v>
      </c>
      <c r="AV53" s="284">
        <v>0</v>
      </c>
      <c r="AW53" s="284">
        <v>12</v>
      </c>
      <c r="AX53" s="284">
        <v>18</v>
      </c>
      <c r="AY53" s="284">
        <v>0</v>
      </c>
      <c r="AZ53" s="284">
        <v>0</v>
      </c>
      <c r="BA53" s="285">
        <v>10</v>
      </c>
      <c r="BB53" s="37">
        <v>25</v>
      </c>
    </row>
    <row r="54" spans="1:54" ht="20.100000000000001" customHeight="1" x14ac:dyDescent="0.4">
      <c r="A54" s="268">
        <v>22</v>
      </c>
      <c r="B54" s="269" t="s">
        <v>105</v>
      </c>
      <c r="C54" s="269" t="s">
        <v>106</v>
      </c>
      <c r="D54" s="270" t="s">
        <v>19</v>
      </c>
      <c r="E54" s="13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119"/>
      <c r="AL54" s="286">
        <v>0</v>
      </c>
      <c r="AM54" s="287">
        <v>0</v>
      </c>
      <c r="AN54" s="287">
        <v>0</v>
      </c>
      <c r="AO54" s="287">
        <v>0</v>
      </c>
      <c r="AP54" s="287">
        <v>0</v>
      </c>
      <c r="AQ54" s="287">
        <v>0</v>
      </c>
      <c r="AR54" s="287">
        <v>0</v>
      </c>
      <c r="AS54" s="288">
        <v>0</v>
      </c>
      <c r="AT54" s="286">
        <v>61</v>
      </c>
      <c r="AU54" s="287">
        <v>8</v>
      </c>
      <c r="AV54" s="287">
        <v>1</v>
      </c>
      <c r="AW54" s="287">
        <v>12</v>
      </c>
      <c r="AX54" s="287">
        <v>0</v>
      </c>
      <c r="AY54" s="287">
        <v>0</v>
      </c>
      <c r="AZ54" s="287">
        <v>16</v>
      </c>
      <c r="BA54" s="288">
        <v>2</v>
      </c>
      <c r="BB54" s="121">
        <v>31.5</v>
      </c>
    </row>
    <row r="55" spans="1:54" ht="20.100000000000001" customHeight="1" x14ac:dyDescent="0.4">
      <c r="A55" s="271">
        <v>30</v>
      </c>
      <c r="B55" s="272" t="s">
        <v>86</v>
      </c>
      <c r="C55" s="272" t="s">
        <v>87</v>
      </c>
      <c r="D55" s="273" t="s">
        <v>19</v>
      </c>
      <c r="E55" s="124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6"/>
      <c r="AL55" s="289">
        <v>0</v>
      </c>
      <c r="AM55" s="290">
        <v>0</v>
      </c>
      <c r="AN55" s="290">
        <v>0</v>
      </c>
      <c r="AO55" s="290">
        <v>0</v>
      </c>
      <c r="AP55" s="290">
        <v>0</v>
      </c>
      <c r="AQ55" s="290">
        <v>0</v>
      </c>
      <c r="AR55" s="290">
        <v>0</v>
      </c>
      <c r="AS55" s="291">
        <v>0</v>
      </c>
      <c r="AT55" s="289">
        <v>61</v>
      </c>
      <c r="AU55" s="290">
        <v>7</v>
      </c>
      <c r="AV55" s="290">
        <v>0</v>
      </c>
      <c r="AW55" s="290">
        <v>12</v>
      </c>
      <c r="AX55" s="290">
        <v>29</v>
      </c>
      <c r="AY55" s="290">
        <v>0</v>
      </c>
      <c r="AZ55" s="290">
        <v>14</v>
      </c>
      <c r="BA55" s="291">
        <v>5</v>
      </c>
      <c r="BB55" s="127">
        <v>33</v>
      </c>
    </row>
    <row r="56" spans="1:54" ht="20.100000000000001" customHeight="1" x14ac:dyDescent="0.4">
      <c r="A56" s="274">
        <v>72</v>
      </c>
      <c r="B56" s="275" t="s">
        <v>88</v>
      </c>
      <c r="C56" s="275" t="s">
        <v>89</v>
      </c>
      <c r="D56" s="276" t="s">
        <v>19</v>
      </c>
      <c r="E56" s="12" t="s">
        <v>238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 t="s">
        <v>32</v>
      </c>
      <c r="R56" s="2"/>
      <c r="S56" s="2"/>
      <c r="T56" s="2"/>
      <c r="U56" s="2"/>
      <c r="V56" s="2"/>
      <c r="W56" s="2"/>
      <c r="X56" s="2"/>
      <c r="Y56" s="2"/>
      <c r="Z56" s="2"/>
      <c r="AA56" s="2"/>
      <c r="AB56" s="2" t="s">
        <v>32</v>
      </c>
      <c r="AC56" s="2" t="s">
        <v>32</v>
      </c>
      <c r="AD56" s="2" t="s">
        <v>226</v>
      </c>
      <c r="AE56" s="2"/>
      <c r="AF56" s="2"/>
      <c r="AG56" s="2"/>
      <c r="AH56" s="2"/>
      <c r="AI56" s="2"/>
      <c r="AJ56" s="2"/>
      <c r="AK56" s="117" t="s">
        <v>125</v>
      </c>
      <c r="AL56" s="280">
        <v>0</v>
      </c>
      <c r="AM56" s="281">
        <v>0</v>
      </c>
      <c r="AN56" s="281">
        <v>0</v>
      </c>
      <c r="AO56" s="281">
        <v>1</v>
      </c>
      <c r="AP56" s="281">
        <v>0</v>
      </c>
      <c r="AQ56" s="281">
        <v>0</v>
      </c>
      <c r="AR56" s="281">
        <v>0</v>
      </c>
      <c r="AS56" s="282">
        <v>0</v>
      </c>
      <c r="AT56" s="280">
        <v>59</v>
      </c>
      <c r="AU56" s="281">
        <v>7</v>
      </c>
      <c r="AV56" s="281">
        <v>4</v>
      </c>
      <c r="AW56" s="281">
        <v>12</v>
      </c>
      <c r="AX56" s="281">
        <v>8</v>
      </c>
      <c r="AY56" s="281">
        <v>7</v>
      </c>
      <c r="AZ56" s="281">
        <v>16</v>
      </c>
      <c r="BA56" s="282">
        <v>2</v>
      </c>
      <c r="BB56" s="120">
        <v>31</v>
      </c>
    </row>
    <row r="57" spans="1:54" ht="20.100000000000001" customHeight="1" x14ac:dyDescent="0.4">
      <c r="A57" s="265">
        <v>35</v>
      </c>
      <c r="B57" s="266" t="s">
        <v>90</v>
      </c>
      <c r="C57" s="266" t="s">
        <v>91</v>
      </c>
      <c r="D57" s="267" t="s">
        <v>19</v>
      </c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118"/>
      <c r="AL57" s="283">
        <v>0</v>
      </c>
      <c r="AM57" s="284">
        <v>0</v>
      </c>
      <c r="AN57" s="284">
        <v>0</v>
      </c>
      <c r="AO57" s="284">
        <v>0</v>
      </c>
      <c r="AP57" s="284">
        <v>0</v>
      </c>
      <c r="AQ57" s="284">
        <v>0</v>
      </c>
      <c r="AR57" s="284">
        <v>0</v>
      </c>
      <c r="AS57" s="285">
        <v>0</v>
      </c>
      <c r="AT57" s="283">
        <v>61</v>
      </c>
      <c r="AU57" s="284">
        <v>14</v>
      </c>
      <c r="AV57" s="284">
        <v>1</v>
      </c>
      <c r="AW57" s="284">
        <v>12</v>
      </c>
      <c r="AX57" s="284">
        <v>0</v>
      </c>
      <c r="AY57" s="284">
        <v>4</v>
      </c>
      <c r="AZ57" s="284">
        <v>16</v>
      </c>
      <c r="BA57" s="285">
        <v>5</v>
      </c>
      <c r="BB57" s="37">
        <v>25.5</v>
      </c>
    </row>
    <row r="58" spans="1:54" ht="20.100000000000001" customHeight="1" x14ac:dyDescent="0.4">
      <c r="A58" s="265">
        <v>58</v>
      </c>
      <c r="B58" s="266" t="s">
        <v>92</v>
      </c>
      <c r="C58" s="266" t="s">
        <v>93</v>
      </c>
      <c r="D58" s="267" t="s">
        <v>19</v>
      </c>
      <c r="E58" s="9" t="s">
        <v>32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 t="s">
        <v>226</v>
      </c>
      <c r="AA58" s="3" t="s">
        <v>226</v>
      </c>
      <c r="AB58" s="3" t="s">
        <v>32</v>
      </c>
      <c r="AC58" s="3" t="s">
        <v>32</v>
      </c>
      <c r="AD58" s="3" t="s">
        <v>226</v>
      </c>
      <c r="AE58" s="3"/>
      <c r="AF58" s="3"/>
      <c r="AG58" s="3"/>
      <c r="AH58" s="3"/>
      <c r="AI58" s="3"/>
      <c r="AJ58" s="3"/>
      <c r="AK58" s="118"/>
      <c r="AL58" s="283">
        <v>0</v>
      </c>
      <c r="AM58" s="284">
        <v>0</v>
      </c>
      <c r="AN58" s="284">
        <v>0</v>
      </c>
      <c r="AO58" s="284">
        <v>3</v>
      </c>
      <c r="AP58" s="284">
        <v>0</v>
      </c>
      <c r="AQ58" s="284">
        <v>0</v>
      </c>
      <c r="AR58" s="284">
        <v>0</v>
      </c>
      <c r="AS58" s="285">
        <v>0</v>
      </c>
      <c r="AT58" s="283">
        <v>60</v>
      </c>
      <c r="AU58" s="284">
        <v>7</v>
      </c>
      <c r="AV58" s="284">
        <v>2</v>
      </c>
      <c r="AW58" s="284">
        <v>12</v>
      </c>
      <c r="AX58" s="284">
        <v>7</v>
      </c>
      <c r="AY58" s="284">
        <v>3</v>
      </c>
      <c r="AZ58" s="284">
        <v>10</v>
      </c>
      <c r="BA58" s="285">
        <v>6</v>
      </c>
      <c r="BB58" s="37">
        <v>27</v>
      </c>
    </row>
    <row r="59" spans="1:54" ht="20.100000000000001" customHeight="1" x14ac:dyDescent="0.4">
      <c r="A59" s="268">
        <v>65</v>
      </c>
      <c r="B59" s="269" t="s">
        <v>113</v>
      </c>
      <c r="C59" s="269" t="s">
        <v>114</v>
      </c>
      <c r="D59" s="270" t="s">
        <v>19</v>
      </c>
      <c r="E59" s="1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 t="s">
        <v>102</v>
      </c>
      <c r="V59" s="4"/>
      <c r="W59" s="4" t="s">
        <v>226</v>
      </c>
      <c r="X59" s="4" t="s">
        <v>226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119"/>
      <c r="AL59" s="286">
        <v>0</v>
      </c>
      <c r="AM59" s="287">
        <v>0</v>
      </c>
      <c r="AN59" s="287">
        <v>0</v>
      </c>
      <c r="AO59" s="287">
        <v>2</v>
      </c>
      <c r="AP59" s="287">
        <v>0</v>
      </c>
      <c r="AQ59" s="287">
        <v>0</v>
      </c>
      <c r="AR59" s="287">
        <v>0</v>
      </c>
      <c r="AS59" s="288">
        <v>0</v>
      </c>
      <c r="AT59" s="286">
        <v>61</v>
      </c>
      <c r="AU59" s="287">
        <v>7</v>
      </c>
      <c r="AV59" s="287">
        <v>1</v>
      </c>
      <c r="AW59" s="287">
        <v>12</v>
      </c>
      <c r="AX59" s="287">
        <v>0</v>
      </c>
      <c r="AY59" s="287">
        <v>1</v>
      </c>
      <c r="AZ59" s="287">
        <v>24</v>
      </c>
      <c r="BA59" s="288">
        <v>1</v>
      </c>
      <c r="BB59" s="121">
        <v>22.5</v>
      </c>
    </row>
    <row r="60" spans="1:54" ht="20.100000000000001" customHeight="1" x14ac:dyDescent="0.4">
      <c r="A60" s="271">
        <v>74</v>
      </c>
      <c r="B60" s="272" t="s">
        <v>72</v>
      </c>
      <c r="C60" s="272" t="s">
        <v>73</v>
      </c>
      <c r="D60" s="273" t="s">
        <v>19</v>
      </c>
      <c r="E60" s="124"/>
      <c r="F60" s="125"/>
      <c r="G60" s="125"/>
      <c r="H60" s="125"/>
      <c r="I60" s="125"/>
      <c r="J60" s="125"/>
      <c r="K60" s="125"/>
      <c r="L60" s="125" t="s">
        <v>226</v>
      </c>
      <c r="M60" s="125" t="s">
        <v>226</v>
      </c>
      <c r="N60" s="125" t="s">
        <v>32</v>
      </c>
      <c r="O60" s="125" t="s">
        <v>32</v>
      </c>
      <c r="P60" s="125" t="s">
        <v>226</v>
      </c>
      <c r="Q60" s="125"/>
      <c r="R60" s="125"/>
      <c r="S60" s="125"/>
      <c r="T60" s="125"/>
      <c r="U60" s="125" t="s">
        <v>102</v>
      </c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6"/>
      <c r="AL60" s="289">
        <v>0</v>
      </c>
      <c r="AM60" s="290">
        <v>0</v>
      </c>
      <c r="AN60" s="290">
        <v>0</v>
      </c>
      <c r="AO60" s="290">
        <v>3</v>
      </c>
      <c r="AP60" s="290">
        <v>0</v>
      </c>
      <c r="AQ60" s="290">
        <v>0</v>
      </c>
      <c r="AR60" s="290">
        <v>0</v>
      </c>
      <c r="AS60" s="291">
        <v>0</v>
      </c>
      <c r="AT60" s="289">
        <v>61</v>
      </c>
      <c r="AU60" s="290">
        <v>8</v>
      </c>
      <c r="AV60" s="290">
        <v>1</v>
      </c>
      <c r="AW60" s="290">
        <v>12</v>
      </c>
      <c r="AX60" s="290">
        <v>0</v>
      </c>
      <c r="AY60" s="290">
        <v>0</v>
      </c>
      <c r="AZ60" s="290">
        <v>19</v>
      </c>
      <c r="BA60" s="291">
        <v>2</v>
      </c>
      <c r="BB60" s="127">
        <v>16.5</v>
      </c>
    </row>
    <row r="61" spans="1:54" ht="20.100000000000001" customHeight="1" x14ac:dyDescent="0.4">
      <c r="A61" s="274">
        <v>82</v>
      </c>
      <c r="B61" s="275" t="s">
        <v>76</v>
      </c>
      <c r="C61" s="275" t="s">
        <v>77</v>
      </c>
      <c r="D61" s="276" t="s">
        <v>19</v>
      </c>
      <c r="E61" s="1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117"/>
      <c r="AL61" s="280">
        <v>0</v>
      </c>
      <c r="AM61" s="281">
        <v>0</v>
      </c>
      <c r="AN61" s="281">
        <v>0</v>
      </c>
      <c r="AO61" s="281">
        <v>0</v>
      </c>
      <c r="AP61" s="281">
        <v>0</v>
      </c>
      <c r="AQ61" s="281">
        <v>0</v>
      </c>
      <c r="AR61" s="281">
        <v>0</v>
      </c>
      <c r="AS61" s="282">
        <v>0</v>
      </c>
      <c r="AT61" s="280">
        <v>61</v>
      </c>
      <c r="AU61" s="281">
        <v>10</v>
      </c>
      <c r="AV61" s="281">
        <v>1</v>
      </c>
      <c r="AW61" s="281">
        <v>12</v>
      </c>
      <c r="AX61" s="281">
        <v>0</v>
      </c>
      <c r="AY61" s="281">
        <v>0</v>
      </c>
      <c r="AZ61" s="281">
        <v>20</v>
      </c>
      <c r="BA61" s="282">
        <v>2</v>
      </c>
      <c r="BB61" s="120">
        <v>12.5</v>
      </c>
    </row>
    <row r="62" spans="1:54" ht="20.100000000000001" customHeight="1" x14ac:dyDescent="0.4">
      <c r="A62" s="265">
        <v>94</v>
      </c>
      <c r="B62" s="266" t="s">
        <v>78</v>
      </c>
      <c r="C62" s="266" t="s">
        <v>79</v>
      </c>
      <c r="D62" s="267" t="s">
        <v>19</v>
      </c>
      <c r="E62" s="9" t="s">
        <v>223</v>
      </c>
      <c r="F62" s="3"/>
      <c r="G62" s="3"/>
      <c r="H62" s="3"/>
      <c r="I62" s="3"/>
      <c r="J62" s="3"/>
      <c r="K62" s="3"/>
      <c r="L62" s="3"/>
      <c r="M62" s="3"/>
      <c r="N62" s="3" t="s">
        <v>32</v>
      </c>
      <c r="O62" s="3" t="s">
        <v>32</v>
      </c>
      <c r="P62" s="3" t="s">
        <v>226</v>
      </c>
      <c r="Q62" s="3" t="s">
        <v>226</v>
      </c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118"/>
      <c r="AL62" s="283">
        <v>0</v>
      </c>
      <c r="AM62" s="284">
        <v>0</v>
      </c>
      <c r="AN62" s="284">
        <v>0</v>
      </c>
      <c r="AO62" s="284">
        <v>2</v>
      </c>
      <c r="AP62" s="284">
        <v>0</v>
      </c>
      <c r="AQ62" s="284">
        <v>0</v>
      </c>
      <c r="AR62" s="284">
        <v>0</v>
      </c>
      <c r="AS62" s="285">
        <v>0</v>
      </c>
      <c r="AT62" s="283">
        <v>61</v>
      </c>
      <c r="AU62" s="284">
        <v>7</v>
      </c>
      <c r="AV62" s="284">
        <v>0</v>
      </c>
      <c r="AW62" s="284">
        <v>12</v>
      </c>
      <c r="AX62" s="284">
        <v>0</v>
      </c>
      <c r="AY62" s="284">
        <v>4</v>
      </c>
      <c r="AZ62" s="284">
        <v>17</v>
      </c>
      <c r="BA62" s="285">
        <v>3</v>
      </c>
      <c r="BB62" s="37">
        <v>3</v>
      </c>
    </row>
    <row r="63" spans="1:54" ht="20.100000000000001" customHeight="1" x14ac:dyDescent="0.4">
      <c r="A63" s="265">
        <v>11</v>
      </c>
      <c r="B63" s="266" t="s">
        <v>100</v>
      </c>
      <c r="C63" s="266" t="s">
        <v>101</v>
      </c>
      <c r="D63" s="267" t="s">
        <v>102</v>
      </c>
      <c r="E63" s="9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 t="s">
        <v>32</v>
      </c>
      <c r="R63" s="3"/>
      <c r="S63" s="3"/>
      <c r="T63" s="3" t="s">
        <v>32</v>
      </c>
      <c r="U63" s="3"/>
      <c r="V63" s="3"/>
      <c r="W63" s="3"/>
      <c r="X63" s="3"/>
      <c r="Y63" s="3"/>
      <c r="Z63" s="3"/>
      <c r="AA63" s="3" t="s">
        <v>226</v>
      </c>
      <c r="AB63" s="3"/>
      <c r="AC63" s="3"/>
      <c r="AD63" s="3"/>
      <c r="AE63" s="3"/>
      <c r="AF63" s="3"/>
      <c r="AG63" s="3"/>
      <c r="AH63" s="3"/>
      <c r="AI63" s="3"/>
      <c r="AJ63" s="3"/>
      <c r="AK63" s="118"/>
      <c r="AL63" s="283">
        <v>0</v>
      </c>
      <c r="AM63" s="284">
        <v>0</v>
      </c>
      <c r="AN63" s="284">
        <v>0</v>
      </c>
      <c r="AO63" s="284">
        <v>1</v>
      </c>
      <c r="AP63" s="284">
        <v>0</v>
      </c>
      <c r="AQ63" s="284">
        <v>0</v>
      </c>
      <c r="AR63" s="284">
        <v>0</v>
      </c>
      <c r="AS63" s="285">
        <v>0</v>
      </c>
      <c r="AT63" s="283">
        <v>61</v>
      </c>
      <c r="AU63" s="284">
        <v>7</v>
      </c>
      <c r="AV63" s="284">
        <v>2</v>
      </c>
      <c r="AW63" s="284">
        <v>12</v>
      </c>
      <c r="AX63" s="284">
        <v>0</v>
      </c>
      <c r="AY63" s="284">
        <v>2</v>
      </c>
      <c r="AZ63" s="284">
        <v>17</v>
      </c>
      <c r="BA63" s="285">
        <v>1</v>
      </c>
      <c r="BB63" s="37">
        <v>32</v>
      </c>
    </row>
    <row r="64" spans="1:54" ht="20.100000000000001" customHeight="1" x14ac:dyDescent="0.4">
      <c r="A64" s="268">
        <v>15</v>
      </c>
      <c r="B64" s="269" t="s">
        <v>62</v>
      </c>
      <c r="C64" s="269" t="s">
        <v>63</v>
      </c>
      <c r="D64" s="270" t="s">
        <v>102</v>
      </c>
      <c r="E64" s="1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 t="s">
        <v>32</v>
      </c>
      <c r="AC64" s="4" t="s">
        <v>32</v>
      </c>
      <c r="AD64" s="4" t="s">
        <v>226</v>
      </c>
      <c r="AE64" s="4" t="s">
        <v>226</v>
      </c>
      <c r="AF64" s="4" t="s">
        <v>226</v>
      </c>
      <c r="AG64" s="4" t="s">
        <v>226</v>
      </c>
      <c r="AH64" s="4" t="s">
        <v>32</v>
      </c>
      <c r="AI64" s="4" t="s">
        <v>32</v>
      </c>
      <c r="AJ64" s="4" t="s">
        <v>32</v>
      </c>
      <c r="AK64" s="119"/>
      <c r="AL64" s="286">
        <v>0</v>
      </c>
      <c r="AM64" s="287">
        <v>0</v>
      </c>
      <c r="AN64" s="287">
        <v>0</v>
      </c>
      <c r="AO64" s="287">
        <v>4</v>
      </c>
      <c r="AP64" s="287">
        <v>0</v>
      </c>
      <c r="AQ64" s="287">
        <v>0</v>
      </c>
      <c r="AR64" s="287">
        <v>0</v>
      </c>
      <c r="AS64" s="288">
        <v>0</v>
      </c>
      <c r="AT64" s="286">
        <v>61</v>
      </c>
      <c r="AU64" s="287">
        <v>9</v>
      </c>
      <c r="AV64" s="287">
        <v>1</v>
      </c>
      <c r="AW64" s="287">
        <v>12</v>
      </c>
      <c r="AX64" s="287">
        <v>0</v>
      </c>
      <c r="AY64" s="287">
        <v>0</v>
      </c>
      <c r="AZ64" s="287">
        <v>12</v>
      </c>
      <c r="BA64" s="288">
        <v>9</v>
      </c>
      <c r="BB64" s="121">
        <v>30.5</v>
      </c>
    </row>
    <row r="65" spans="1:54" ht="20.100000000000001" customHeight="1" x14ac:dyDescent="0.4">
      <c r="A65" s="271">
        <v>95</v>
      </c>
      <c r="B65" s="272" t="s">
        <v>84</v>
      </c>
      <c r="C65" s="272" t="s">
        <v>85</v>
      </c>
      <c r="D65" s="273" t="s">
        <v>102</v>
      </c>
      <c r="E65" s="124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6"/>
      <c r="AL65" s="289">
        <v>0</v>
      </c>
      <c r="AM65" s="290">
        <v>0</v>
      </c>
      <c r="AN65" s="290">
        <v>0</v>
      </c>
      <c r="AO65" s="290">
        <v>0</v>
      </c>
      <c r="AP65" s="290">
        <v>0</v>
      </c>
      <c r="AQ65" s="290">
        <v>0</v>
      </c>
      <c r="AR65" s="290">
        <v>0</v>
      </c>
      <c r="AS65" s="291">
        <v>0</v>
      </c>
      <c r="AT65" s="289">
        <v>61</v>
      </c>
      <c r="AU65" s="290">
        <v>6</v>
      </c>
      <c r="AV65" s="290">
        <v>1</v>
      </c>
      <c r="AW65" s="290">
        <v>10</v>
      </c>
      <c r="AX65" s="290">
        <v>0</v>
      </c>
      <c r="AY65" s="290">
        <v>0</v>
      </c>
      <c r="AZ65" s="290">
        <v>7</v>
      </c>
      <c r="BA65" s="291">
        <v>7</v>
      </c>
      <c r="BB65" s="127">
        <v>33.5</v>
      </c>
    </row>
    <row r="66" spans="1:54" ht="20.100000000000001" customHeight="1" x14ac:dyDescent="0.4">
      <c r="A66" s="274">
        <v>24</v>
      </c>
      <c r="B66" s="275" t="s">
        <v>107</v>
      </c>
      <c r="C66" s="275" t="s">
        <v>108</v>
      </c>
      <c r="D66" s="276" t="s">
        <v>102</v>
      </c>
      <c r="E66" s="12"/>
      <c r="F66" s="2"/>
      <c r="G66" s="2" t="s">
        <v>227</v>
      </c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 t="s">
        <v>227</v>
      </c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117"/>
      <c r="AL66" s="280">
        <v>0</v>
      </c>
      <c r="AM66" s="281">
        <v>0</v>
      </c>
      <c r="AN66" s="281">
        <v>0</v>
      </c>
      <c r="AO66" s="281">
        <v>0</v>
      </c>
      <c r="AP66" s="281">
        <v>2</v>
      </c>
      <c r="AQ66" s="281">
        <v>0</v>
      </c>
      <c r="AR66" s="281">
        <v>0</v>
      </c>
      <c r="AS66" s="282">
        <v>0</v>
      </c>
      <c r="AT66" s="280">
        <v>61</v>
      </c>
      <c r="AU66" s="281">
        <v>6</v>
      </c>
      <c r="AV66" s="281">
        <v>4</v>
      </c>
      <c r="AW66" s="281">
        <v>12</v>
      </c>
      <c r="AX66" s="281">
        <v>27</v>
      </c>
      <c r="AY66" s="281">
        <v>1</v>
      </c>
      <c r="AZ66" s="281">
        <v>0</v>
      </c>
      <c r="BA66" s="282">
        <v>0</v>
      </c>
      <c r="BB66" s="120">
        <v>32</v>
      </c>
    </row>
    <row r="67" spans="1:54" ht="20.100000000000001" customHeight="1" x14ac:dyDescent="0.4">
      <c r="A67" s="265">
        <v>49</v>
      </c>
      <c r="B67" s="266" t="s">
        <v>111</v>
      </c>
      <c r="C67" s="266" t="s">
        <v>112</v>
      </c>
      <c r="D67" s="267" t="s">
        <v>102</v>
      </c>
      <c r="E67" s="9" t="s">
        <v>350</v>
      </c>
      <c r="F67" s="3" t="s">
        <v>238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118"/>
      <c r="AL67" s="283">
        <v>0</v>
      </c>
      <c r="AM67" s="284">
        <v>0</v>
      </c>
      <c r="AN67" s="284">
        <v>0</v>
      </c>
      <c r="AO67" s="284">
        <v>0</v>
      </c>
      <c r="AP67" s="284">
        <v>0</v>
      </c>
      <c r="AQ67" s="284">
        <v>0</v>
      </c>
      <c r="AR67" s="284">
        <v>0</v>
      </c>
      <c r="AS67" s="285">
        <v>0</v>
      </c>
      <c r="AT67" s="283">
        <v>61</v>
      </c>
      <c r="AU67" s="284">
        <v>7</v>
      </c>
      <c r="AV67" s="284">
        <v>1</v>
      </c>
      <c r="AW67" s="284">
        <v>12</v>
      </c>
      <c r="AX67" s="284">
        <v>0</v>
      </c>
      <c r="AY67" s="284">
        <v>0</v>
      </c>
      <c r="AZ67" s="284">
        <v>21</v>
      </c>
      <c r="BA67" s="285">
        <v>6</v>
      </c>
      <c r="BB67" s="37">
        <v>32.5</v>
      </c>
    </row>
    <row r="68" spans="1:54" ht="20.100000000000001" customHeight="1" x14ac:dyDescent="0.4">
      <c r="A68" s="265">
        <v>64</v>
      </c>
      <c r="B68" s="266" t="s">
        <v>176</v>
      </c>
      <c r="C68" s="266" t="s">
        <v>177</v>
      </c>
      <c r="D68" s="267" t="s">
        <v>102</v>
      </c>
      <c r="E68" s="9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 t="s">
        <v>32</v>
      </c>
      <c r="AC68" s="3" t="s">
        <v>32</v>
      </c>
      <c r="AD68" s="3"/>
      <c r="AE68" s="3"/>
      <c r="AF68" s="3"/>
      <c r="AG68" s="3"/>
      <c r="AH68" s="3"/>
      <c r="AI68" s="3"/>
      <c r="AJ68" s="3"/>
      <c r="AK68" s="118"/>
      <c r="AL68" s="283">
        <v>0</v>
      </c>
      <c r="AM68" s="284">
        <v>0</v>
      </c>
      <c r="AN68" s="284">
        <v>0</v>
      </c>
      <c r="AO68" s="284">
        <v>0</v>
      </c>
      <c r="AP68" s="284">
        <v>0</v>
      </c>
      <c r="AQ68" s="284">
        <v>0</v>
      </c>
      <c r="AR68" s="284">
        <v>0</v>
      </c>
      <c r="AS68" s="285">
        <v>0</v>
      </c>
      <c r="AT68" s="283">
        <v>61</v>
      </c>
      <c r="AU68" s="284">
        <v>7</v>
      </c>
      <c r="AV68" s="284">
        <v>4</v>
      </c>
      <c r="AW68" s="284">
        <v>5</v>
      </c>
      <c r="AX68" s="284">
        <v>0</v>
      </c>
      <c r="AY68" s="284">
        <v>1</v>
      </c>
      <c r="AZ68" s="284">
        <v>6</v>
      </c>
      <c r="BA68" s="285">
        <v>10</v>
      </c>
      <c r="BB68" s="37">
        <v>21</v>
      </c>
    </row>
    <row r="69" spans="1:54" ht="20.100000000000001" customHeight="1" x14ac:dyDescent="0.4">
      <c r="A69" s="268">
        <v>87</v>
      </c>
      <c r="B69" s="269" t="s">
        <v>98</v>
      </c>
      <c r="C69" s="269" t="s">
        <v>99</v>
      </c>
      <c r="D69" s="270" t="s">
        <v>102</v>
      </c>
      <c r="E69" s="13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 t="s">
        <v>239</v>
      </c>
      <c r="AD69" s="4" t="s">
        <v>238</v>
      </c>
      <c r="AE69" s="4"/>
      <c r="AF69" s="4"/>
      <c r="AG69" s="4"/>
      <c r="AH69" s="4"/>
      <c r="AI69" s="4"/>
      <c r="AJ69" s="4"/>
      <c r="AK69" s="119"/>
      <c r="AL69" s="286">
        <v>0</v>
      </c>
      <c r="AM69" s="287">
        <v>0</v>
      </c>
      <c r="AN69" s="287">
        <v>0</v>
      </c>
      <c r="AO69" s="287">
        <v>0</v>
      </c>
      <c r="AP69" s="287">
        <v>0</v>
      </c>
      <c r="AQ69" s="287">
        <v>0</v>
      </c>
      <c r="AR69" s="287">
        <v>1</v>
      </c>
      <c r="AS69" s="288">
        <v>0</v>
      </c>
      <c r="AT69" s="286">
        <v>61</v>
      </c>
      <c r="AU69" s="287">
        <v>7</v>
      </c>
      <c r="AV69" s="287">
        <v>2</v>
      </c>
      <c r="AW69" s="287">
        <v>12</v>
      </c>
      <c r="AX69" s="287">
        <v>0</v>
      </c>
      <c r="AY69" s="287">
        <v>0</v>
      </c>
      <c r="AZ69" s="287">
        <v>19</v>
      </c>
      <c r="BA69" s="288">
        <v>4</v>
      </c>
      <c r="BB69" s="121">
        <v>12</v>
      </c>
    </row>
    <row r="70" spans="1:54" ht="20.100000000000001" customHeight="1" x14ac:dyDescent="0.4">
      <c r="A70" s="271">
        <v>7</v>
      </c>
      <c r="B70" s="272" t="s">
        <v>126</v>
      </c>
      <c r="C70" s="272" t="s">
        <v>127</v>
      </c>
      <c r="D70" s="273" t="s">
        <v>205</v>
      </c>
      <c r="E70" s="124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 t="s">
        <v>226</v>
      </c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6"/>
      <c r="AL70" s="289">
        <v>0</v>
      </c>
      <c r="AM70" s="290">
        <v>0</v>
      </c>
      <c r="AN70" s="290">
        <v>0</v>
      </c>
      <c r="AO70" s="290">
        <v>1</v>
      </c>
      <c r="AP70" s="290">
        <v>0</v>
      </c>
      <c r="AQ70" s="290">
        <v>0</v>
      </c>
      <c r="AR70" s="290">
        <v>0</v>
      </c>
      <c r="AS70" s="291">
        <v>0</v>
      </c>
      <c r="AT70" s="289">
        <v>61</v>
      </c>
      <c r="AU70" s="290">
        <v>6</v>
      </c>
      <c r="AV70" s="290">
        <v>2</v>
      </c>
      <c r="AW70" s="290">
        <v>12</v>
      </c>
      <c r="AX70" s="290">
        <v>0</v>
      </c>
      <c r="AY70" s="290">
        <v>0</v>
      </c>
      <c r="AZ70" s="290">
        <v>0</v>
      </c>
      <c r="BA70" s="291">
        <v>0</v>
      </c>
      <c r="BB70" s="127">
        <v>33</v>
      </c>
    </row>
    <row r="71" spans="1:54" ht="20.100000000000001" customHeight="1" x14ac:dyDescent="0.4">
      <c r="A71" s="274">
        <v>26</v>
      </c>
      <c r="B71" s="275" t="s">
        <v>144</v>
      </c>
      <c r="C71" s="275" t="s">
        <v>145</v>
      </c>
      <c r="D71" s="276" t="s">
        <v>205</v>
      </c>
      <c r="E71" s="12" t="s">
        <v>223</v>
      </c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 t="s">
        <v>32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117"/>
      <c r="AL71" s="280">
        <v>0</v>
      </c>
      <c r="AM71" s="281">
        <v>0</v>
      </c>
      <c r="AN71" s="281">
        <v>0</v>
      </c>
      <c r="AO71" s="281">
        <v>0</v>
      </c>
      <c r="AP71" s="281">
        <v>0</v>
      </c>
      <c r="AQ71" s="281">
        <v>0</v>
      </c>
      <c r="AR71" s="281">
        <v>0</v>
      </c>
      <c r="AS71" s="282">
        <v>0</v>
      </c>
      <c r="AT71" s="280">
        <v>61</v>
      </c>
      <c r="AU71" s="281">
        <v>8</v>
      </c>
      <c r="AV71" s="281">
        <v>0</v>
      </c>
      <c r="AW71" s="281">
        <v>11</v>
      </c>
      <c r="AX71" s="281">
        <v>0</v>
      </c>
      <c r="AY71" s="281">
        <v>11</v>
      </c>
      <c r="AZ71" s="281">
        <v>19</v>
      </c>
      <c r="BA71" s="282">
        <v>2</v>
      </c>
      <c r="BB71" s="120">
        <v>32</v>
      </c>
    </row>
    <row r="72" spans="1:54" ht="20.100000000000001" customHeight="1" x14ac:dyDescent="0.4">
      <c r="A72" s="265">
        <v>37</v>
      </c>
      <c r="B72" s="266" t="s">
        <v>152</v>
      </c>
      <c r="C72" s="266" t="s">
        <v>153</v>
      </c>
      <c r="D72" s="267" t="s">
        <v>205</v>
      </c>
      <c r="E72" s="9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 t="s">
        <v>32</v>
      </c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118"/>
      <c r="AL72" s="283">
        <v>0</v>
      </c>
      <c r="AM72" s="284">
        <v>0</v>
      </c>
      <c r="AN72" s="284">
        <v>0</v>
      </c>
      <c r="AO72" s="284">
        <v>0</v>
      </c>
      <c r="AP72" s="284">
        <v>0</v>
      </c>
      <c r="AQ72" s="284">
        <v>0</v>
      </c>
      <c r="AR72" s="284">
        <v>0</v>
      </c>
      <c r="AS72" s="285">
        <v>0</v>
      </c>
      <c r="AT72" s="283">
        <v>61</v>
      </c>
      <c r="AU72" s="284">
        <v>7</v>
      </c>
      <c r="AV72" s="284">
        <v>3</v>
      </c>
      <c r="AW72" s="284">
        <v>12</v>
      </c>
      <c r="AX72" s="284">
        <v>0</v>
      </c>
      <c r="AY72" s="284">
        <v>6</v>
      </c>
      <c r="AZ72" s="284">
        <v>15</v>
      </c>
      <c r="BA72" s="285">
        <v>5</v>
      </c>
      <c r="BB72" s="37">
        <v>31.5</v>
      </c>
    </row>
    <row r="73" spans="1:54" ht="20.100000000000001" customHeight="1" x14ac:dyDescent="0.4">
      <c r="A73" s="265">
        <v>44</v>
      </c>
      <c r="B73" s="266" t="s">
        <v>162</v>
      </c>
      <c r="C73" s="266" t="s">
        <v>163</v>
      </c>
      <c r="D73" s="267" t="s">
        <v>205</v>
      </c>
      <c r="E73" s="9" t="s">
        <v>238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118"/>
      <c r="AL73" s="283">
        <v>0</v>
      </c>
      <c r="AM73" s="284">
        <v>0</v>
      </c>
      <c r="AN73" s="284">
        <v>0</v>
      </c>
      <c r="AO73" s="284">
        <v>0</v>
      </c>
      <c r="AP73" s="284">
        <v>0</v>
      </c>
      <c r="AQ73" s="284">
        <v>0</v>
      </c>
      <c r="AR73" s="284">
        <v>0</v>
      </c>
      <c r="AS73" s="285">
        <v>0</v>
      </c>
      <c r="AT73" s="283">
        <v>61</v>
      </c>
      <c r="AU73" s="284">
        <v>7</v>
      </c>
      <c r="AV73" s="284">
        <v>1</v>
      </c>
      <c r="AW73" s="284">
        <v>12</v>
      </c>
      <c r="AX73" s="284">
        <v>0</v>
      </c>
      <c r="AY73" s="284">
        <v>2</v>
      </c>
      <c r="AZ73" s="284">
        <v>17</v>
      </c>
      <c r="BA73" s="285">
        <v>5</v>
      </c>
      <c r="BB73" s="37">
        <v>32.5</v>
      </c>
    </row>
    <row r="74" spans="1:54" ht="20.100000000000001" customHeight="1" x14ac:dyDescent="0.4">
      <c r="A74" s="268">
        <v>53</v>
      </c>
      <c r="B74" s="269" t="s">
        <v>170</v>
      </c>
      <c r="C74" s="269" t="s">
        <v>171</v>
      </c>
      <c r="D74" s="270" t="s">
        <v>205</v>
      </c>
      <c r="E74" s="13"/>
      <c r="F74" s="4"/>
      <c r="G74" s="4"/>
      <c r="H74" s="4"/>
      <c r="I74" s="4"/>
      <c r="J74" s="4"/>
      <c r="K74" s="4"/>
      <c r="L74" s="4" t="s">
        <v>226</v>
      </c>
      <c r="M74" s="4" t="s">
        <v>226</v>
      </c>
      <c r="N74" s="4"/>
      <c r="O74" s="4"/>
      <c r="P74" s="4" t="s">
        <v>226</v>
      </c>
      <c r="Q74" s="4"/>
      <c r="R74" s="4"/>
      <c r="S74" s="4"/>
      <c r="T74" s="4"/>
      <c r="U74" s="4" t="s">
        <v>226</v>
      </c>
      <c r="V74" s="4"/>
      <c r="W74" s="4" t="s">
        <v>226</v>
      </c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119"/>
      <c r="AL74" s="286">
        <v>0</v>
      </c>
      <c r="AM74" s="287">
        <v>0</v>
      </c>
      <c r="AN74" s="287">
        <v>0</v>
      </c>
      <c r="AO74" s="287">
        <v>5</v>
      </c>
      <c r="AP74" s="287">
        <v>0</v>
      </c>
      <c r="AQ74" s="287">
        <v>0</v>
      </c>
      <c r="AR74" s="287">
        <v>0</v>
      </c>
      <c r="AS74" s="288">
        <v>0</v>
      </c>
      <c r="AT74" s="286">
        <v>61</v>
      </c>
      <c r="AU74" s="287">
        <v>8</v>
      </c>
      <c r="AV74" s="287">
        <v>1</v>
      </c>
      <c r="AW74" s="287">
        <v>12</v>
      </c>
      <c r="AX74" s="287">
        <v>0</v>
      </c>
      <c r="AY74" s="287">
        <v>5</v>
      </c>
      <c r="AZ74" s="287">
        <v>17</v>
      </c>
      <c r="BA74" s="288">
        <v>3</v>
      </c>
      <c r="BB74" s="121">
        <v>31.5</v>
      </c>
    </row>
    <row r="75" spans="1:54" ht="20.100000000000001" customHeight="1" x14ac:dyDescent="0.4">
      <c r="A75" s="271">
        <v>77</v>
      </c>
      <c r="B75" s="272" t="s">
        <v>186</v>
      </c>
      <c r="C75" s="272" t="s">
        <v>187</v>
      </c>
      <c r="D75" s="273" t="s">
        <v>205</v>
      </c>
      <c r="E75" s="124"/>
      <c r="F75" s="125"/>
      <c r="G75" s="125" t="s">
        <v>102</v>
      </c>
      <c r="H75" s="125"/>
      <c r="I75" s="125"/>
      <c r="J75" s="125"/>
      <c r="K75" s="125"/>
      <c r="L75" s="125"/>
      <c r="M75" s="125"/>
      <c r="N75" s="125"/>
      <c r="O75" s="125"/>
      <c r="P75" s="125" t="s">
        <v>226</v>
      </c>
      <c r="Q75" s="125" t="s">
        <v>226</v>
      </c>
      <c r="R75" s="125" t="s">
        <v>226</v>
      </c>
      <c r="S75" s="125" t="s">
        <v>226</v>
      </c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6"/>
      <c r="AL75" s="289">
        <v>0</v>
      </c>
      <c r="AM75" s="290">
        <v>0</v>
      </c>
      <c r="AN75" s="290">
        <v>0</v>
      </c>
      <c r="AO75" s="290">
        <v>4</v>
      </c>
      <c r="AP75" s="290">
        <v>0</v>
      </c>
      <c r="AQ75" s="290">
        <v>0</v>
      </c>
      <c r="AR75" s="290">
        <v>0</v>
      </c>
      <c r="AS75" s="291">
        <v>0</v>
      </c>
      <c r="AT75" s="289">
        <v>57</v>
      </c>
      <c r="AU75" s="290">
        <v>6</v>
      </c>
      <c r="AV75" s="290">
        <v>3</v>
      </c>
      <c r="AW75" s="290">
        <v>11</v>
      </c>
      <c r="AX75" s="290">
        <v>10</v>
      </c>
      <c r="AY75" s="290">
        <v>1</v>
      </c>
      <c r="AZ75" s="290">
        <v>17</v>
      </c>
      <c r="BA75" s="291">
        <v>3</v>
      </c>
      <c r="BB75" s="127">
        <v>17.5</v>
      </c>
    </row>
    <row r="76" spans="1:54" ht="20.100000000000001" customHeight="1" x14ac:dyDescent="0.4">
      <c r="A76" s="274">
        <v>84</v>
      </c>
      <c r="B76" s="275" t="s">
        <v>190</v>
      </c>
      <c r="C76" s="275" t="s">
        <v>191</v>
      </c>
      <c r="D76" s="276" t="s">
        <v>205</v>
      </c>
      <c r="E76" s="12" t="s">
        <v>239</v>
      </c>
      <c r="F76" s="2" t="s">
        <v>238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117"/>
      <c r="AL76" s="280">
        <v>0</v>
      </c>
      <c r="AM76" s="281">
        <v>0</v>
      </c>
      <c r="AN76" s="281">
        <v>0</v>
      </c>
      <c r="AO76" s="281">
        <v>0</v>
      </c>
      <c r="AP76" s="281">
        <v>0</v>
      </c>
      <c r="AQ76" s="281">
        <v>0</v>
      </c>
      <c r="AR76" s="281">
        <v>0</v>
      </c>
      <c r="AS76" s="282">
        <v>0</v>
      </c>
      <c r="AT76" s="280">
        <v>61</v>
      </c>
      <c r="AU76" s="281">
        <v>7</v>
      </c>
      <c r="AV76" s="281">
        <v>3</v>
      </c>
      <c r="AW76" s="281">
        <v>12</v>
      </c>
      <c r="AX76" s="281">
        <v>0</v>
      </c>
      <c r="AY76" s="281">
        <v>0</v>
      </c>
      <c r="AZ76" s="281">
        <v>15</v>
      </c>
      <c r="BA76" s="282">
        <v>3</v>
      </c>
      <c r="BB76" s="120">
        <v>14.5</v>
      </c>
    </row>
    <row r="77" spans="1:54" ht="20.100000000000001" customHeight="1" x14ac:dyDescent="0.4">
      <c r="A77" s="265">
        <v>5</v>
      </c>
      <c r="B77" s="266" t="s">
        <v>123</v>
      </c>
      <c r="C77" s="266" t="s">
        <v>124</v>
      </c>
      <c r="D77" s="267" t="s">
        <v>119</v>
      </c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 t="s">
        <v>32</v>
      </c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118"/>
      <c r="AL77" s="283">
        <v>0</v>
      </c>
      <c r="AM77" s="284">
        <v>0</v>
      </c>
      <c r="AN77" s="284">
        <v>0</v>
      </c>
      <c r="AO77" s="284">
        <v>0</v>
      </c>
      <c r="AP77" s="284">
        <v>0</v>
      </c>
      <c r="AQ77" s="284">
        <v>0</v>
      </c>
      <c r="AR77" s="284">
        <v>0</v>
      </c>
      <c r="AS77" s="285">
        <v>0</v>
      </c>
      <c r="AT77" s="283">
        <v>61</v>
      </c>
      <c r="AU77" s="284">
        <v>6</v>
      </c>
      <c r="AV77" s="284">
        <v>0</v>
      </c>
      <c r="AW77" s="284">
        <v>12</v>
      </c>
      <c r="AX77" s="284">
        <v>0</v>
      </c>
      <c r="AY77" s="284">
        <v>0</v>
      </c>
      <c r="AZ77" s="284">
        <v>0</v>
      </c>
      <c r="BA77" s="285">
        <v>0</v>
      </c>
      <c r="BB77" s="37">
        <v>34</v>
      </c>
    </row>
    <row r="78" spans="1:54" ht="20.100000000000001" customHeight="1" x14ac:dyDescent="0.4">
      <c r="A78" s="265">
        <v>71</v>
      </c>
      <c r="B78" s="266" t="s">
        <v>194</v>
      </c>
      <c r="C78" s="266" t="s">
        <v>195</v>
      </c>
      <c r="D78" s="267" t="s">
        <v>207</v>
      </c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118"/>
      <c r="AL78" s="283">
        <v>0</v>
      </c>
      <c r="AM78" s="284">
        <v>0</v>
      </c>
      <c r="AN78" s="284">
        <v>0</v>
      </c>
      <c r="AO78" s="284">
        <v>0</v>
      </c>
      <c r="AP78" s="284">
        <v>0</v>
      </c>
      <c r="AQ78" s="284">
        <v>0</v>
      </c>
      <c r="AR78" s="284">
        <v>0</v>
      </c>
      <c r="AS78" s="285">
        <v>0</v>
      </c>
      <c r="AT78" s="283">
        <v>30</v>
      </c>
      <c r="AU78" s="284">
        <v>3</v>
      </c>
      <c r="AV78" s="284">
        <v>1</v>
      </c>
      <c r="AW78" s="284">
        <v>5</v>
      </c>
      <c r="AX78" s="284">
        <v>0</v>
      </c>
      <c r="AY78" s="284">
        <v>0</v>
      </c>
      <c r="AZ78" s="284">
        <v>0</v>
      </c>
      <c r="BA78" s="285">
        <v>0</v>
      </c>
      <c r="BB78" s="37">
        <v>1.5</v>
      </c>
    </row>
    <row r="79" spans="1:54" ht="20.100000000000001" customHeight="1" x14ac:dyDescent="0.4">
      <c r="A79" s="268">
        <v>9</v>
      </c>
      <c r="B79" s="269" t="s">
        <v>128</v>
      </c>
      <c r="C79" s="269" t="s">
        <v>129</v>
      </c>
      <c r="D79" s="270" t="s">
        <v>122</v>
      </c>
      <c r="E79" s="1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 t="s">
        <v>32</v>
      </c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119"/>
      <c r="AL79" s="286">
        <v>0</v>
      </c>
      <c r="AM79" s="287">
        <v>0</v>
      </c>
      <c r="AN79" s="287">
        <v>0</v>
      </c>
      <c r="AO79" s="287">
        <v>0</v>
      </c>
      <c r="AP79" s="287">
        <v>0</v>
      </c>
      <c r="AQ79" s="287">
        <v>0</v>
      </c>
      <c r="AR79" s="287">
        <v>0</v>
      </c>
      <c r="AS79" s="288">
        <v>0</v>
      </c>
      <c r="AT79" s="286">
        <v>61</v>
      </c>
      <c r="AU79" s="287">
        <v>9</v>
      </c>
      <c r="AV79" s="287">
        <v>0</v>
      </c>
      <c r="AW79" s="287">
        <v>12</v>
      </c>
      <c r="AX79" s="287">
        <v>0</v>
      </c>
      <c r="AY79" s="287">
        <v>0</v>
      </c>
      <c r="AZ79" s="287">
        <v>0</v>
      </c>
      <c r="BA79" s="288">
        <v>0</v>
      </c>
      <c r="BB79" s="121">
        <v>31</v>
      </c>
    </row>
    <row r="80" spans="1:54" ht="20.100000000000001" customHeight="1" x14ac:dyDescent="0.4">
      <c r="A80" s="271">
        <v>16</v>
      </c>
      <c r="B80" s="272" t="s">
        <v>138</v>
      </c>
      <c r="C80" s="272" t="s">
        <v>139</v>
      </c>
      <c r="D80" s="273" t="s">
        <v>122</v>
      </c>
      <c r="E80" s="124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 t="s">
        <v>32</v>
      </c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6"/>
      <c r="AL80" s="289">
        <v>0</v>
      </c>
      <c r="AM80" s="290">
        <v>0</v>
      </c>
      <c r="AN80" s="290">
        <v>0</v>
      </c>
      <c r="AO80" s="290">
        <v>0</v>
      </c>
      <c r="AP80" s="290">
        <v>0</v>
      </c>
      <c r="AQ80" s="290">
        <v>0</v>
      </c>
      <c r="AR80" s="290">
        <v>0</v>
      </c>
      <c r="AS80" s="291">
        <v>0</v>
      </c>
      <c r="AT80" s="289">
        <v>61</v>
      </c>
      <c r="AU80" s="290">
        <v>5</v>
      </c>
      <c r="AV80" s="290">
        <v>0</v>
      </c>
      <c r="AW80" s="290">
        <v>2</v>
      </c>
      <c r="AX80" s="290">
        <v>0</v>
      </c>
      <c r="AY80" s="290">
        <v>0</v>
      </c>
      <c r="AZ80" s="290">
        <v>0</v>
      </c>
      <c r="BA80" s="291">
        <v>0</v>
      </c>
      <c r="BB80" s="127">
        <v>35</v>
      </c>
    </row>
    <row r="81" spans="1:54" ht="20.100000000000001" customHeight="1" x14ac:dyDescent="0.4">
      <c r="A81" s="274">
        <v>23</v>
      </c>
      <c r="B81" s="275" t="s">
        <v>120</v>
      </c>
      <c r="C81" s="275" t="s">
        <v>121</v>
      </c>
      <c r="D81" s="276" t="s">
        <v>122</v>
      </c>
      <c r="E81" s="12"/>
      <c r="F81" s="2"/>
      <c r="G81" s="2" t="s">
        <v>122</v>
      </c>
      <c r="H81" s="2"/>
      <c r="I81" s="2"/>
      <c r="J81" s="2"/>
      <c r="K81" s="2"/>
      <c r="L81" s="2"/>
      <c r="M81" s="2"/>
      <c r="N81" s="2" t="s">
        <v>223</v>
      </c>
      <c r="O81" s="2"/>
      <c r="P81" s="2"/>
      <c r="Q81" s="2"/>
      <c r="R81" s="2"/>
      <c r="S81" s="2"/>
      <c r="T81" s="2"/>
      <c r="U81" s="2" t="s">
        <v>122</v>
      </c>
      <c r="V81" s="2"/>
      <c r="W81" s="2"/>
      <c r="X81" s="2"/>
      <c r="Y81" s="2"/>
      <c r="Z81" s="2"/>
      <c r="AA81" s="2"/>
      <c r="AB81" s="2" t="s">
        <v>38</v>
      </c>
      <c r="AC81" s="2"/>
      <c r="AD81" s="2"/>
      <c r="AE81" s="2"/>
      <c r="AF81" s="2"/>
      <c r="AG81" s="2"/>
      <c r="AH81" s="2"/>
      <c r="AI81" s="2"/>
      <c r="AJ81" s="2"/>
      <c r="AK81" s="117"/>
      <c r="AL81" s="280">
        <v>1</v>
      </c>
      <c r="AM81" s="281">
        <v>0</v>
      </c>
      <c r="AN81" s="281">
        <v>0</v>
      </c>
      <c r="AO81" s="281">
        <v>0</v>
      </c>
      <c r="AP81" s="281">
        <v>0</v>
      </c>
      <c r="AQ81" s="281">
        <v>0</v>
      </c>
      <c r="AR81" s="281">
        <v>0</v>
      </c>
      <c r="AS81" s="282">
        <v>0</v>
      </c>
      <c r="AT81" s="280">
        <v>60</v>
      </c>
      <c r="AU81" s="281">
        <v>3</v>
      </c>
      <c r="AV81" s="281">
        <v>5</v>
      </c>
      <c r="AW81" s="281">
        <v>7</v>
      </c>
      <c r="AX81" s="281">
        <v>0</v>
      </c>
      <c r="AY81" s="281">
        <v>2</v>
      </c>
      <c r="AZ81" s="281">
        <v>0</v>
      </c>
      <c r="BA81" s="282">
        <v>0</v>
      </c>
      <c r="BB81" s="120">
        <v>34.5</v>
      </c>
    </row>
    <row r="82" spans="1:54" ht="20.100000000000001" customHeight="1" thickBot="1" x14ac:dyDescent="0.45">
      <c r="A82" s="277">
        <v>91</v>
      </c>
      <c r="B82" s="278" t="s">
        <v>94</v>
      </c>
      <c r="C82" s="278" t="s">
        <v>95</v>
      </c>
      <c r="D82" s="279" t="s">
        <v>122</v>
      </c>
      <c r="E82" s="13" t="s">
        <v>32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19"/>
      <c r="AL82" s="292">
        <v>0</v>
      </c>
      <c r="AM82" s="293">
        <v>0</v>
      </c>
      <c r="AN82" s="293">
        <v>0</v>
      </c>
      <c r="AO82" s="293">
        <v>0</v>
      </c>
      <c r="AP82" s="293">
        <v>0</v>
      </c>
      <c r="AQ82" s="293">
        <v>0</v>
      </c>
      <c r="AR82" s="293">
        <v>0</v>
      </c>
      <c r="AS82" s="294">
        <v>0</v>
      </c>
      <c r="AT82" s="292">
        <v>61</v>
      </c>
      <c r="AU82" s="293">
        <v>8</v>
      </c>
      <c r="AV82" s="293">
        <v>2</v>
      </c>
      <c r="AW82" s="293">
        <v>12</v>
      </c>
      <c r="AX82" s="293">
        <v>0</v>
      </c>
      <c r="AY82" s="293">
        <v>1</v>
      </c>
      <c r="AZ82" s="293">
        <v>14</v>
      </c>
      <c r="BA82" s="294">
        <v>1</v>
      </c>
      <c r="BB82" s="38">
        <v>26</v>
      </c>
    </row>
    <row r="83" spans="1:54" ht="20.100000000000001" customHeight="1" x14ac:dyDescent="0.4">
      <c r="E83" s="238">
        <v>45260</v>
      </c>
      <c r="F83" s="240">
        <v>45261</v>
      </c>
      <c r="G83" s="240">
        <v>45262</v>
      </c>
      <c r="H83" s="176">
        <v>45263</v>
      </c>
      <c r="I83" s="240">
        <v>45264</v>
      </c>
      <c r="J83" s="240">
        <v>45265</v>
      </c>
      <c r="K83" s="240">
        <v>45266</v>
      </c>
      <c r="L83" s="240">
        <v>45267</v>
      </c>
      <c r="M83" s="240">
        <v>45268</v>
      </c>
      <c r="N83" s="176">
        <v>45269</v>
      </c>
      <c r="O83" s="176">
        <v>45270</v>
      </c>
      <c r="P83" s="240">
        <v>45271</v>
      </c>
      <c r="Q83" s="240">
        <v>45272</v>
      </c>
      <c r="R83" s="240">
        <v>45273</v>
      </c>
      <c r="S83" s="240">
        <v>45274</v>
      </c>
      <c r="T83" s="240">
        <v>45275</v>
      </c>
      <c r="U83" s="240">
        <v>45276</v>
      </c>
      <c r="V83" s="176">
        <v>45277</v>
      </c>
      <c r="W83" s="240">
        <v>45278</v>
      </c>
      <c r="X83" s="240">
        <v>45279</v>
      </c>
      <c r="Y83" s="240">
        <v>45280</v>
      </c>
      <c r="Z83" s="240">
        <v>45281</v>
      </c>
      <c r="AA83" s="240">
        <v>45282</v>
      </c>
      <c r="AB83" s="176">
        <v>45283</v>
      </c>
      <c r="AC83" s="176">
        <v>45284</v>
      </c>
      <c r="AD83" s="240">
        <v>45285</v>
      </c>
      <c r="AE83" s="240">
        <v>45286</v>
      </c>
      <c r="AF83" s="240">
        <v>45287</v>
      </c>
      <c r="AG83" s="240">
        <v>45288</v>
      </c>
      <c r="AH83" s="176">
        <v>45289</v>
      </c>
      <c r="AI83" s="176">
        <v>45290</v>
      </c>
      <c r="AJ83" s="176">
        <v>45291</v>
      </c>
      <c r="AK83" s="197">
        <v>45292</v>
      </c>
    </row>
    <row r="84" spans="1:54" ht="20.100000000000001" customHeight="1" thickBot="1" x14ac:dyDescent="0.45">
      <c r="E84" s="237">
        <v>45260</v>
      </c>
      <c r="F84" s="239">
        <v>45261</v>
      </c>
      <c r="G84" s="239">
        <v>45262</v>
      </c>
      <c r="H84" s="175">
        <v>45263</v>
      </c>
      <c r="I84" s="239">
        <v>45264</v>
      </c>
      <c r="J84" s="239">
        <v>45265</v>
      </c>
      <c r="K84" s="239">
        <v>45266</v>
      </c>
      <c r="L84" s="239">
        <v>45267</v>
      </c>
      <c r="M84" s="239">
        <v>45268</v>
      </c>
      <c r="N84" s="175">
        <v>45269</v>
      </c>
      <c r="O84" s="175">
        <v>45270</v>
      </c>
      <c r="P84" s="239">
        <v>45271</v>
      </c>
      <c r="Q84" s="239">
        <v>45272</v>
      </c>
      <c r="R84" s="239">
        <v>45273</v>
      </c>
      <c r="S84" s="239">
        <v>45274</v>
      </c>
      <c r="T84" s="239">
        <v>45275</v>
      </c>
      <c r="U84" s="239">
        <v>45276</v>
      </c>
      <c r="V84" s="175">
        <v>45277</v>
      </c>
      <c r="W84" s="239">
        <v>45278</v>
      </c>
      <c r="X84" s="239">
        <v>45279</v>
      </c>
      <c r="Y84" s="239">
        <v>45280</v>
      </c>
      <c r="Z84" s="239">
        <v>45281</v>
      </c>
      <c r="AA84" s="239">
        <v>45282</v>
      </c>
      <c r="AB84" s="175">
        <v>45283</v>
      </c>
      <c r="AC84" s="175">
        <v>45284</v>
      </c>
      <c r="AD84" s="239">
        <v>45285</v>
      </c>
      <c r="AE84" s="239">
        <v>45286</v>
      </c>
      <c r="AF84" s="239">
        <v>45287</v>
      </c>
      <c r="AG84" s="239">
        <v>45288</v>
      </c>
      <c r="AH84" s="175">
        <v>45289</v>
      </c>
      <c r="AI84" s="175">
        <v>45290</v>
      </c>
      <c r="AJ84" s="175">
        <v>45291</v>
      </c>
      <c r="AK84" s="198">
        <v>45292</v>
      </c>
    </row>
    <row r="85" spans="1:54" ht="20.100000000000001" customHeight="1" x14ac:dyDescent="0.4">
      <c r="C85" s="249" t="s">
        <v>11</v>
      </c>
      <c r="D85" s="250"/>
      <c r="E85" s="214" t="s">
        <v>264</v>
      </c>
      <c r="F85" s="216" t="s">
        <v>264</v>
      </c>
      <c r="G85" s="177" t="s">
        <v>243</v>
      </c>
      <c r="H85" s="218" t="s">
        <v>245</v>
      </c>
      <c r="I85" s="216" t="s">
        <v>327</v>
      </c>
      <c r="J85" s="216" t="s">
        <v>327</v>
      </c>
      <c r="K85" s="216" t="s">
        <v>327</v>
      </c>
      <c r="L85" s="216" t="s">
        <v>327</v>
      </c>
      <c r="M85" s="216" t="s">
        <v>327</v>
      </c>
      <c r="N85" s="218" t="s">
        <v>259</v>
      </c>
      <c r="O85" s="177" t="s">
        <v>242</v>
      </c>
      <c r="P85" s="216" t="s">
        <v>327</v>
      </c>
      <c r="Q85" s="216" t="s">
        <v>327</v>
      </c>
      <c r="R85" s="216" t="s">
        <v>327</v>
      </c>
      <c r="S85" s="216" t="s">
        <v>327</v>
      </c>
      <c r="T85" s="216" t="s">
        <v>327</v>
      </c>
      <c r="U85" s="177" t="s">
        <v>243</v>
      </c>
      <c r="V85" s="177" t="s">
        <v>242</v>
      </c>
      <c r="W85" s="216" t="s">
        <v>264</v>
      </c>
      <c r="X85" s="216" t="s">
        <v>327</v>
      </c>
      <c r="Y85" s="216" t="s">
        <v>327</v>
      </c>
      <c r="Z85" s="216" t="s">
        <v>327</v>
      </c>
      <c r="AA85" s="216" t="s">
        <v>327</v>
      </c>
      <c r="AB85" s="218" t="s">
        <v>259</v>
      </c>
      <c r="AC85" s="177" t="s">
        <v>242</v>
      </c>
      <c r="AD85" s="216" t="s">
        <v>327</v>
      </c>
      <c r="AE85" s="216" t="s">
        <v>327</v>
      </c>
      <c r="AF85" s="216" t="s">
        <v>327</v>
      </c>
      <c r="AG85" s="216" t="s">
        <v>327</v>
      </c>
      <c r="AH85" s="177" t="s">
        <v>242</v>
      </c>
      <c r="AI85" s="177" t="s">
        <v>242</v>
      </c>
      <c r="AJ85" s="177" t="s">
        <v>242</v>
      </c>
      <c r="AK85" s="242" t="s">
        <v>242</v>
      </c>
    </row>
    <row r="86" spans="1:54" ht="20.100000000000001" customHeight="1" x14ac:dyDescent="0.4">
      <c r="C86" s="247" t="s">
        <v>12</v>
      </c>
      <c r="D86" s="248"/>
      <c r="E86" s="131" t="s">
        <v>264</v>
      </c>
      <c r="F86" s="132" t="s">
        <v>264</v>
      </c>
      <c r="G86" s="132" t="s">
        <v>246</v>
      </c>
      <c r="H86" s="123" t="s">
        <v>242</v>
      </c>
      <c r="I86" s="132" t="s">
        <v>246</v>
      </c>
      <c r="J86" s="132" t="s">
        <v>246</v>
      </c>
      <c r="K86" s="132" t="s">
        <v>246</v>
      </c>
      <c r="L86" s="132" t="s">
        <v>246</v>
      </c>
      <c r="M86" s="132" t="s">
        <v>246</v>
      </c>
      <c r="N86" s="123" t="s">
        <v>242</v>
      </c>
      <c r="O86" s="123" t="s">
        <v>242</v>
      </c>
      <c r="P86" s="132" t="s">
        <v>246</v>
      </c>
      <c r="Q86" s="132" t="s">
        <v>246</v>
      </c>
      <c r="R86" s="132" t="s">
        <v>246</v>
      </c>
      <c r="S86" s="132" t="s">
        <v>246</v>
      </c>
      <c r="T86" s="132" t="s">
        <v>246</v>
      </c>
      <c r="U86" s="132" t="s">
        <v>246</v>
      </c>
      <c r="V86" s="123" t="s">
        <v>242</v>
      </c>
      <c r="W86" s="132" t="s">
        <v>246</v>
      </c>
      <c r="X86" s="132" t="s">
        <v>246</v>
      </c>
      <c r="Y86" s="132" t="s">
        <v>246</v>
      </c>
      <c r="Z86" s="132" t="s">
        <v>246</v>
      </c>
      <c r="AA86" s="132" t="s">
        <v>246</v>
      </c>
      <c r="AB86" s="123" t="s">
        <v>242</v>
      </c>
      <c r="AC86" s="123" t="s">
        <v>242</v>
      </c>
      <c r="AD86" s="132" t="s">
        <v>246</v>
      </c>
      <c r="AE86" s="132" t="s">
        <v>246</v>
      </c>
      <c r="AF86" s="132" t="s">
        <v>246</v>
      </c>
      <c r="AG86" s="132" t="s">
        <v>246</v>
      </c>
      <c r="AH86" s="123" t="s">
        <v>242</v>
      </c>
      <c r="AI86" s="123" t="s">
        <v>242</v>
      </c>
      <c r="AJ86" s="123" t="s">
        <v>242</v>
      </c>
      <c r="AK86" s="243" t="s">
        <v>242</v>
      </c>
    </row>
    <row r="87" spans="1:54" ht="20.100000000000001" customHeight="1" x14ac:dyDescent="0.4">
      <c r="C87" s="247" t="s">
        <v>13</v>
      </c>
      <c r="D87" s="248"/>
      <c r="E87" s="131" t="s">
        <v>247</v>
      </c>
      <c r="F87" s="132" t="s">
        <v>247</v>
      </c>
      <c r="G87" s="132" t="s">
        <v>247</v>
      </c>
      <c r="H87" s="123" t="s">
        <v>242</v>
      </c>
      <c r="I87" s="132" t="s">
        <v>247</v>
      </c>
      <c r="J87" s="132" t="s">
        <v>247</v>
      </c>
      <c r="K87" s="132" t="s">
        <v>247</v>
      </c>
      <c r="L87" s="132" t="s">
        <v>247</v>
      </c>
      <c r="M87" s="132" t="s">
        <v>247</v>
      </c>
      <c r="N87" s="123" t="s">
        <v>242</v>
      </c>
      <c r="O87" s="123" t="s">
        <v>242</v>
      </c>
      <c r="P87" s="132" t="s">
        <v>247</v>
      </c>
      <c r="Q87" s="132" t="s">
        <v>247</v>
      </c>
      <c r="R87" s="132" t="s">
        <v>247</v>
      </c>
      <c r="S87" s="132" t="s">
        <v>247</v>
      </c>
      <c r="T87" s="132" t="s">
        <v>247</v>
      </c>
      <c r="U87" s="132" t="s">
        <v>247</v>
      </c>
      <c r="V87" s="123" t="s">
        <v>242</v>
      </c>
      <c r="W87" s="132" t="s">
        <v>247</v>
      </c>
      <c r="X87" s="132" t="s">
        <v>247</v>
      </c>
      <c r="Y87" s="132" t="s">
        <v>247</v>
      </c>
      <c r="Z87" s="132" t="s">
        <v>247</v>
      </c>
      <c r="AA87" s="132" t="s">
        <v>247</v>
      </c>
      <c r="AB87" s="123" t="s">
        <v>242</v>
      </c>
      <c r="AC87" s="123" t="s">
        <v>242</v>
      </c>
      <c r="AD87" s="132" t="s">
        <v>247</v>
      </c>
      <c r="AE87" s="132" t="s">
        <v>247</v>
      </c>
      <c r="AF87" s="132" t="s">
        <v>247</v>
      </c>
      <c r="AG87" s="132" t="s">
        <v>247</v>
      </c>
      <c r="AH87" s="123" t="s">
        <v>242</v>
      </c>
      <c r="AI87" s="123" t="s">
        <v>242</v>
      </c>
      <c r="AJ87" s="123" t="s">
        <v>242</v>
      </c>
      <c r="AK87" s="243" t="s">
        <v>242</v>
      </c>
    </row>
    <row r="88" spans="1:54" ht="20.100000000000001" customHeight="1" x14ac:dyDescent="0.4">
      <c r="C88" s="247" t="s">
        <v>14</v>
      </c>
      <c r="D88" s="248"/>
      <c r="E88" s="131" t="s">
        <v>252</v>
      </c>
      <c r="F88" s="132" t="s">
        <v>246</v>
      </c>
      <c r="G88" s="132" t="s">
        <v>248</v>
      </c>
      <c r="H88" s="123" t="s">
        <v>242</v>
      </c>
      <c r="I88" s="132" t="s">
        <v>248</v>
      </c>
      <c r="J88" s="132" t="s">
        <v>248</v>
      </c>
      <c r="K88" s="132" t="s">
        <v>248</v>
      </c>
      <c r="L88" s="132" t="s">
        <v>248</v>
      </c>
      <c r="M88" s="132" t="s">
        <v>248</v>
      </c>
      <c r="N88" s="123" t="s">
        <v>242</v>
      </c>
      <c r="O88" s="123" t="s">
        <v>242</v>
      </c>
      <c r="P88" s="132" t="s">
        <v>248</v>
      </c>
      <c r="Q88" s="132" t="s">
        <v>248</v>
      </c>
      <c r="R88" s="132" t="s">
        <v>248</v>
      </c>
      <c r="S88" s="132" t="s">
        <v>248</v>
      </c>
      <c r="T88" s="132" t="s">
        <v>248</v>
      </c>
      <c r="U88" s="132" t="s">
        <v>248</v>
      </c>
      <c r="V88" s="123" t="s">
        <v>242</v>
      </c>
      <c r="W88" s="132" t="s">
        <v>248</v>
      </c>
      <c r="X88" s="132" t="s">
        <v>248</v>
      </c>
      <c r="Y88" s="132" t="s">
        <v>248</v>
      </c>
      <c r="Z88" s="132" t="s">
        <v>248</v>
      </c>
      <c r="AA88" s="132" t="s">
        <v>248</v>
      </c>
      <c r="AB88" s="123" t="s">
        <v>242</v>
      </c>
      <c r="AC88" s="123" t="s">
        <v>242</v>
      </c>
      <c r="AD88" s="132" t="s">
        <v>248</v>
      </c>
      <c r="AE88" s="132" t="s">
        <v>248</v>
      </c>
      <c r="AF88" s="132" t="s">
        <v>248</v>
      </c>
      <c r="AG88" s="132" t="s">
        <v>248</v>
      </c>
      <c r="AH88" s="123" t="s">
        <v>242</v>
      </c>
      <c r="AI88" s="123" t="s">
        <v>242</v>
      </c>
      <c r="AJ88" s="123" t="s">
        <v>242</v>
      </c>
      <c r="AK88" s="243" t="s">
        <v>242</v>
      </c>
    </row>
    <row r="89" spans="1:54" ht="20.100000000000001" customHeight="1" x14ac:dyDescent="0.4">
      <c r="C89" s="247" t="s">
        <v>15</v>
      </c>
      <c r="D89" s="248"/>
      <c r="E89" s="131" t="s">
        <v>247</v>
      </c>
      <c r="F89" s="132" t="s">
        <v>247</v>
      </c>
      <c r="G89" s="132" t="s">
        <v>249</v>
      </c>
      <c r="H89" s="123" t="s">
        <v>242</v>
      </c>
      <c r="I89" s="132" t="s">
        <v>248</v>
      </c>
      <c r="J89" s="132" t="s">
        <v>248</v>
      </c>
      <c r="K89" s="132" t="s">
        <v>247</v>
      </c>
      <c r="L89" s="132" t="s">
        <v>247</v>
      </c>
      <c r="M89" s="132" t="s">
        <v>248</v>
      </c>
      <c r="N89" s="123" t="s">
        <v>242</v>
      </c>
      <c r="O89" s="123" t="s">
        <v>242</v>
      </c>
      <c r="P89" s="132" t="s">
        <v>248</v>
      </c>
      <c r="Q89" s="132" t="s">
        <v>248</v>
      </c>
      <c r="R89" s="132" t="s">
        <v>247</v>
      </c>
      <c r="S89" s="132" t="s">
        <v>247</v>
      </c>
      <c r="T89" s="132" t="s">
        <v>248</v>
      </c>
      <c r="U89" s="132" t="s">
        <v>249</v>
      </c>
      <c r="V89" s="123" t="s">
        <v>242</v>
      </c>
      <c r="W89" s="132" t="s">
        <v>248</v>
      </c>
      <c r="X89" s="132" t="s">
        <v>248</v>
      </c>
      <c r="Y89" s="132" t="s">
        <v>247</v>
      </c>
      <c r="Z89" s="132" t="s">
        <v>247</v>
      </c>
      <c r="AA89" s="132" t="s">
        <v>248</v>
      </c>
      <c r="AB89" s="123" t="s">
        <v>242</v>
      </c>
      <c r="AC89" s="123" t="s">
        <v>242</v>
      </c>
      <c r="AD89" s="132" t="s">
        <v>248</v>
      </c>
      <c r="AE89" s="132" t="s">
        <v>248</v>
      </c>
      <c r="AF89" s="132" t="s">
        <v>247</v>
      </c>
      <c r="AG89" s="132" t="s">
        <v>247</v>
      </c>
      <c r="AH89" s="123" t="s">
        <v>242</v>
      </c>
      <c r="AI89" s="123" t="s">
        <v>242</v>
      </c>
      <c r="AJ89" s="123" t="s">
        <v>242</v>
      </c>
      <c r="AK89" s="243" t="s">
        <v>242</v>
      </c>
    </row>
    <row r="90" spans="1:54" ht="20.100000000000001" customHeight="1" x14ac:dyDescent="0.4">
      <c r="C90" s="247" t="s">
        <v>16</v>
      </c>
      <c r="D90" s="248"/>
      <c r="E90" s="131" t="s">
        <v>252</v>
      </c>
      <c r="F90" s="132" t="s">
        <v>252</v>
      </c>
      <c r="G90" s="132" t="s">
        <v>246</v>
      </c>
      <c r="H90" s="123" t="s">
        <v>242</v>
      </c>
      <c r="I90" s="132" t="s">
        <v>246</v>
      </c>
      <c r="J90" s="132" t="s">
        <v>246</v>
      </c>
      <c r="K90" s="132" t="s">
        <v>246</v>
      </c>
      <c r="L90" s="132" t="s">
        <v>246</v>
      </c>
      <c r="M90" s="132" t="s">
        <v>246</v>
      </c>
      <c r="N90" s="123" t="s">
        <v>242</v>
      </c>
      <c r="O90" s="123" t="s">
        <v>242</v>
      </c>
      <c r="P90" s="132" t="s">
        <v>246</v>
      </c>
      <c r="Q90" s="132" t="s">
        <v>248</v>
      </c>
      <c r="R90" s="132" t="s">
        <v>246</v>
      </c>
      <c r="S90" s="132" t="s">
        <v>246</v>
      </c>
      <c r="T90" s="132" t="s">
        <v>246</v>
      </c>
      <c r="U90" s="132" t="s">
        <v>246</v>
      </c>
      <c r="V90" s="123" t="s">
        <v>242</v>
      </c>
      <c r="W90" s="132" t="s">
        <v>246</v>
      </c>
      <c r="X90" s="132" t="s">
        <v>246</v>
      </c>
      <c r="Y90" s="132" t="s">
        <v>246</v>
      </c>
      <c r="Z90" s="132" t="s">
        <v>246</v>
      </c>
      <c r="AA90" s="132" t="s">
        <v>246</v>
      </c>
      <c r="AB90" s="123" t="s">
        <v>242</v>
      </c>
      <c r="AC90" s="123" t="s">
        <v>242</v>
      </c>
      <c r="AD90" s="132" t="s">
        <v>246</v>
      </c>
      <c r="AE90" s="132" t="s">
        <v>246</v>
      </c>
      <c r="AF90" s="132" t="s">
        <v>246</v>
      </c>
      <c r="AG90" s="132" t="s">
        <v>246</v>
      </c>
      <c r="AH90" s="123" t="s">
        <v>242</v>
      </c>
      <c r="AI90" s="123" t="s">
        <v>242</v>
      </c>
      <c r="AJ90" s="123" t="s">
        <v>242</v>
      </c>
      <c r="AK90" s="243" t="s">
        <v>242</v>
      </c>
    </row>
    <row r="91" spans="1:54" ht="20.100000000000001" customHeight="1" x14ac:dyDescent="0.4">
      <c r="C91" s="247" t="s">
        <v>17</v>
      </c>
      <c r="D91" s="248"/>
      <c r="E91" s="131" t="s">
        <v>249</v>
      </c>
      <c r="F91" s="132" t="s">
        <v>249</v>
      </c>
      <c r="G91" s="123" t="s">
        <v>242</v>
      </c>
      <c r="H91" s="123" t="s">
        <v>242</v>
      </c>
      <c r="I91" s="132" t="s">
        <v>249</v>
      </c>
      <c r="J91" s="132" t="s">
        <v>249</v>
      </c>
      <c r="K91" s="132" t="s">
        <v>249</v>
      </c>
      <c r="L91" s="132" t="s">
        <v>249</v>
      </c>
      <c r="M91" s="132" t="s">
        <v>249</v>
      </c>
      <c r="N91" s="123" t="s">
        <v>242</v>
      </c>
      <c r="O91" s="123" t="s">
        <v>242</v>
      </c>
      <c r="P91" s="132" t="s">
        <v>249</v>
      </c>
      <c r="Q91" s="132" t="s">
        <v>249</v>
      </c>
      <c r="R91" s="132" t="s">
        <v>249</v>
      </c>
      <c r="S91" s="132" t="s">
        <v>249</v>
      </c>
      <c r="T91" s="132" t="s">
        <v>249</v>
      </c>
      <c r="U91" s="123" t="s">
        <v>242</v>
      </c>
      <c r="V91" s="123" t="s">
        <v>242</v>
      </c>
      <c r="W91" s="132" t="s">
        <v>249</v>
      </c>
      <c r="X91" s="132" t="s">
        <v>249</v>
      </c>
      <c r="Y91" s="132" t="s">
        <v>249</v>
      </c>
      <c r="Z91" s="132" t="s">
        <v>249</v>
      </c>
      <c r="AA91" s="132" t="s">
        <v>249</v>
      </c>
      <c r="AB91" s="123" t="s">
        <v>242</v>
      </c>
      <c r="AC91" s="123" t="s">
        <v>242</v>
      </c>
      <c r="AD91" s="132" t="s">
        <v>249</v>
      </c>
      <c r="AE91" s="132" t="s">
        <v>249</v>
      </c>
      <c r="AF91" s="132" t="s">
        <v>249</v>
      </c>
      <c r="AG91" s="132" t="s">
        <v>249</v>
      </c>
      <c r="AH91" s="123" t="s">
        <v>242</v>
      </c>
      <c r="AI91" s="123" t="s">
        <v>242</v>
      </c>
      <c r="AJ91" s="123" t="s">
        <v>242</v>
      </c>
      <c r="AK91" s="243" t="s">
        <v>242</v>
      </c>
    </row>
    <row r="92" spans="1:54" ht="20.100000000000001" customHeight="1" x14ac:dyDescent="0.4">
      <c r="C92" s="247" t="s">
        <v>18</v>
      </c>
      <c r="D92" s="248"/>
      <c r="E92" s="122" t="s">
        <v>242</v>
      </c>
      <c r="F92" s="123" t="s">
        <v>242</v>
      </c>
      <c r="G92" s="132" t="s">
        <v>247</v>
      </c>
      <c r="H92" s="123" t="s">
        <v>242</v>
      </c>
      <c r="I92" s="123" t="s">
        <v>242</v>
      </c>
      <c r="J92" s="123" t="s">
        <v>242</v>
      </c>
      <c r="K92" s="123" t="s">
        <v>242</v>
      </c>
      <c r="L92" s="123" t="s">
        <v>242</v>
      </c>
      <c r="M92" s="123" t="s">
        <v>242</v>
      </c>
      <c r="N92" s="123" t="s">
        <v>242</v>
      </c>
      <c r="O92" s="123" t="s">
        <v>242</v>
      </c>
      <c r="P92" s="123" t="s">
        <v>242</v>
      </c>
      <c r="Q92" s="123" t="s">
        <v>242</v>
      </c>
      <c r="R92" s="123" t="s">
        <v>242</v>
      </c>
      <c r="S92" s="123" t="s">
        <v>242</v>
      </c>
      <c r="T92" s="123" t="s">
        <v>242</v>
      </c>
      <c r="U92" s="132" t="s">
        <v>247</v>
      </c>
      <c r="V92" s="123" t="s">
        <v>242</v>
      </c>
      <c r="W92" s="123" t="s">
        <v>242</v>
      </c>
      <c r="X92" s="123" t="s">
        <v>242</v>
      </c>
      <c r="Y92" s="123" t="s">
        <v>242</v>
      </c>
      <c r="Z92" s="123" t="s">
        <v>242</v>
      </c>
      <c r="AA92" s="123" t="s">
        <v>242</v>
      </c>
      <c r="AB92" s="123" t="s">
        <v>242</v>
      </c>
      <c r="AC92" s="123" t="s">
        <v>242</v>
      </c>
      <c r="AD92" s="123" t="s">
        <v>242</v>
      </c>
      <c r="AE92" s="123" t="s">
        <v>242</v>
      </c>
      <c r="AF92" s="123" t="s">
        <v>242</v>
      </c>
      <c r="AG92" s="123" t="s">
        <v>242</v>
      </c>
      <c r="AH92" s="123" t="s">
        <v>242</v>
      </c>
      <c r="AI92" s="123" t="s">
        <v>242</v>
      </c>
      <c r="AJ92" s="123" t="s">
        <v>242</v>
      </c>
      <c r="AK92" s="243" t="s">
        <v>242</v>
      </c>
    </row>
    <row r="93" spans="1:54" ht="20.100000000000001" customHeight="1" x14ac:dyDescent="0.4">
      <c r="C93" s="247" t="s">
        <v>19</v>
      </c>
      <c r="D93" s="248"/>
      <c r="E93" s="131" t="s">
        <v>250</v>
      </c>
      <c r="F93" s="132" t="s">
        <v>250</v>
      </c>
      <c r="G93" s="132" t="s">
        <v>250</v>
      </c>
      <c r="H93" s="123" t="s">
        <v>242</v>
      </c>
      <c r="I93" s="132" t="s">
        <v>250</v>
      </c>
      <c r="J93" s="132" t="s">
        <v>250</v>
      </c>
      <c r="K93" s="132" t="s">
        <v>250</v>
      </c>
      <c r="L93" s="132" t="s">
        <v>250</v>
      </c>
      <c r="M93" s="132" t="s">
        <v>250</v>
      </c>
      <c r="N93" s="123" t="s">
        <v>242</v>
      </c>
      <c r="O93" s="123" t="s">
        <v>242</v>
      </c>
      <c r="P93" s="132" t="s">
        <v>250</v>
      </c>
      <c r="Q93" s="132" t="s">
        <v>250</v>
      </c>
      <c r="R93" s="132" t="s">
        <v>250</v>
      </c>
      <c r="S93" s="132" t="s">
        <v>250</v>
      </c>
      <c r="T93" s="132" t="s">
        <v>250</v>
      </c>
      <c r="U93" s="132" t="s">
        <v>250</v>
      </c>
      <c r="V93" s="123" t="s">
        <v>242</v>
      </c>
      <c r="W93" s="132" t="s">
        <v>250</v>
      </c>
      <c r="X93" s="132" t="s">
        <v>250</v>
      </c>
      <c r="Y93" s="132" t="s">
        <v>250</v>
      </c>
      <c r="Z93" s="132" t="s">
        <v>250</v>
      </c>
      <c r="AA93" s="132" t="s">
        <v>250</v>
      </c>
      <c r="AB93" s="123" t="s">
        <v>242</v>
      </c>
      <c r="AC93" s="123" t="s">
        <v>242</v>
      </c>
      <c r="AD93" s="132" t="s">
        <v>250</v>
      </c>
      <c r="AE93" s="132" t="s">
        <v>250</v>
      </c>
      <c r="AF93" s="132" t="s">
        <v>250</v>
      </c>
      <c r="AG93" s="132" t="s">
        <v>250</v>
      </c>
      <c r="AH93" s="123" t="s">
        <v>242</v>
      </c>
      <c r="AI93" s="123" t="s">
        <v>242</v>
      </c>
      <c r="AJ93" s="123" t="s">
        <v>242</v>
      </c>
      <c r="AK93" s="243" t="s">
        <v>242</v>
      </c>
    </row>
    <row r="94" spans="1:54" ht="20.100000000000001" customHeight="1" x14ac:dyDescent="0.4">
      <c r="C94" s="247" t="s">
        <v>20</v>
      </c>
      <c r="D94" s="248"/>
      <c r="E94" s="131" t="s">
        <v>246</v>
      </c>
      <c r="F94" s="132" t="s">
        <v>246</v>
      </c>
      <c r="G94" s="132" t="s">
        <v>251</v>
      </c>
      <c r="H94" s="123" t="s">
        <v>242</v>
      </c>
      <c r="I94" s="132" t="s">
        <v>246</v>
      </c>
      <c r="J94" s="132" t="s">
        <v>246</v>
      </c>
      <c r="K94" s="132" t="s">
        <v>246</v>
      </c>
      <c r="L94" s="132" t="s">
        <v>246</v>
      </c>
      <c r="M94" s="132" t="s">
        <v>246</v>
      </c>
      <c r="N94" s="123" t="s">
        <v>242</v>
      </c>
      <c r="O94" s="123" t="s">
        <v>242</v>
      </c>
      <c r="P94" s="132" t="s">
        <v>246</v>
      </c>
      <c r="Q94" s="132" t="s">
        <v>246</v>
      </c>
      <c r="R94" s="132" t="s">
        <v>246</v>
      </c>
      <c r="S94" s="132" t="s">
        <v>246</v>
      </c>
      <c r="T94" s="132" t="s">
        <v>246</v>
      </c>
      <c r="U94" s="132" t="s">
        <v>251</v>
      </c>
      <c r="V94" s="123" t="s">
        <v>242</v>
      </c>
      <c r="W94" s="132" t="s">
        <v>246</v>
      </c>
      <c r="X94" s="132" t="s">
        <v>246</v>
      </c>
      <c r="Y94" s="132" t="s">
        <v>246</v>
      </c>
      <c r="Z94" s="132" t="s">
        <v>246</v>
      </c>
      <c r="AA94" s="132" t="s">
        <v>246</v>
      </c>
      <c r="AB94" s="123" t="s">
        <v>242</v>
      </c>
      <c r="AC94" s="123" t="s">
        <v>242</v>
      </c>
      <c r="AD94" s="132" t="s">
        <v>246</v>
      </c>
      <c r="AE94" s="132" t="s">
        <v>246</v>
      </c>
      <c r="AF94" s="132" t="s">
        <v>246</v>
      </c>
      <c r="AG94" s="132" t="s">
        <v>246</v>
      </c>
      <c r="AH94" s="123" t="s">
        <v>242</v>
      </c>
      <c r="AI94" s="123" t="s">
        <v>242</v>
      </c>
      <c r="AJ94" s="123" t="s">
        <v>242</v>
      </c>
      <c r="AK94" s="243" t="s">
        <v>242</v>
      </c>
    </row>
    <row r="95" spans="1:54" ht="20.100000000000001" customHeight="1" x14ac:dyDescent="0.4">
      <c r="C95" s="247" t="s">
        <v>21</v>
      </c>
      <c r="D95" s="248"/>
      <c r="E95" s="131" t="s">
        <v>252</v>
      </c>
      <c r="F95" s="132" t="s">
        <v>252</v>
      </c>
      <c r="G95" s="132" t="s">
        <v>252</v>
      </c>
      <c r="H95" s="123" t="s">
        <v>242</v>
      </c>
      <c r="I95" s="132" t="s">
        <v>252</v>
      </c>
      <c r="J95" s="132" t="s">
        <v>252</v>
      </c>
      <c r="K95" s="132" t="s">
        <v>252</v>
      </c>
      <c r="L95" s="132" t="s">
        <v>252</v>
      </c>
      <c r="M95" s="132" t="s">
        <v>252</v>
      </c>
      <c r="N95" s="123" t="s">
        <v>242</v>
      </c>
      <c r="O95" s="123" t="s">
        <v>242</v>
      </c>
      <c r="P95" s="132" t="s">
        <v>252</v>
      </c>
      <c r="Q95" s="132" t="s">
        <v>252</v>
      </c>
      <c r="R95" s="132" t="s">
        <v>252</v>
      </c>
      <c r="S95" s="132" t="s">
        <v>252</v>
      </c>
      <c r="T95" s="132" t="s">
        <v>252</v>
      </c>
      <c r="U95" s="132" t="s">
        <v>252</v>
      </c>
      <c r="V95" s="123" t="s">
        <v>242</v>
      </c>
      <c r="W95" s="132" t="s">
        <v>252</v>
      </c>
      <c r="X95" s="132" t="s">
        <v>252</v>
      </c>
      <c r="Y95" s="132" t="s">
        <v>252</v>
      </c>
      <c r="Z95" s="132" t="s">
        <v>252</v>
      </c>
      <c r="AA95" s="132" t="s">
        <v>252</v>
      </c>
      <c r="AB95" s="123" t="s">
        <v>242</v>
      </c>
      <c r="AC95" s="123" t="s">
        <v>242</v>
      </c>
      <c r="AD95" s="132" t="s">
        <v>252</v>
      </c>
      <c r="AE95" s="132" t="s">
        <v>252</v>
      </c>
      <c r="AF95" s="132" t="s">
        <v>252</v>
      </c>
      <c r="AG95" s="132" t="s">
        <v>252</v>
      </c>
      <c r="AH95" s="123" t="s">
        <v>242</v>
      </c>
      <c r="AI95" s="123" t="s">
        <v>242</v>
      </c>
      <c r="AJ95" s="123" t="s">
        <v>242</v>
      </c>
      <c r="AK95" s="243" t="s">
        <v>242</v>
      </c>
    </row>
    <row r="96" spans="1:54" ht="20.100000000000001" customHeight="1" x14ac:dyDescent="0.4">
      <c r="C96" s="247" t="s">
        <v>217</v>
      </c>
      <c r="D96" s="248"/>
      <c r="E96" s="131" t="s">
        <v>253</v>
      </c>
      <c r="F96" s="132" t="s">
        <v>253</v>
      </c>
      <c r="G96" s="132" t="s">
        <v>253</v>
      </c>
      <c r="H96" s="123" t="s">
        <v>242</v>
      </c>
      <c r="I96" s="132" t="s">
        <v>253</v>
      </c>
      <c r="J96" s="132" t="s">
        <v>253</v>
      </c>
      <c r="K96" s="132" t="s">
        <v>253</v>
      </c>
      <c r="L96" s="132" t="s">
        <v>253</v>
      </c>
      <c r="M96" s="132" t="s">
        <v>253</v>
      </c>
      <c r="N96" s="123" t="s">
        <v>242</v>
      </c>
      <c r="O96" s="123" t="s">
        <v>242</v>
      </c>
      <c r="P96" s="132" t="s">
        <v>253</v>
      </c>
      <c r="Q96" s="132" t="s">
        <v>253</v>
      </c>
      <c r="R96" s="132" t="s">
        <v>253</v>
      </c>
      <c r="S96" s="132" t="s">
        <v>253</v>
      </c>
      <c r="T96" s="132" t="s">
        <v>253</v>
      </c>
      <c r="U96" s="132" t="s">
        <v>253</v>
      </c>
      <c r="V96" s="123" t="s">
        <v>242</v>
      </c>
      <c r="W96" s="132" t="s">
        <v>253</v>
      </c>
      <c r="X96" s="132" t="s">
        <v>253</v>
      </c>
      <c r="Y96" s="132" t="s">
        <v>253</v>
      </c>
      <c r="Z96" s="132" t="s">
        <v>253</v>
      </c>
      <c r="AA96" s="132" t="s">
        <v>253</v>
      </c>
      <c r="AB96" s="123" t="s">
        <v>242</v>
      </c>
      <c r="AC96" s="123" t="s">
        <v>242</v>
      </c>
      <c r="AD96" s="132" t="s">
        <v>253</v>
      </c>
      <c r="AE96" s="132" t="s">
        <v>253</v>
      </c>
      <c r="AF96" s="132" t="s">
        <v>253</v>
      </c>
      <c r="AG96" s="132" t="s">
        <v>253</v>
      </c>
      <c r="AH96" s="123" t="s">
        <v>242</v>
      </c>
      <c r="AI96" s="123" t="s">
        <v>242</v>
      </c>
      <c r="AJ96" s="123" t="s">
        <v>242</v>
      </c>
      <c r="AK96" s="243" t="s">
        <v>242</v>
      </c>
    </row>
    <row r="97" spans="3:37" ht="20.100000000000001" customHeight="1" x14ac:dyDescent="0.4">
      <c r="C97" s="247" t="s">
        <v>218</v>
      </c>
      <c r="D97" s="248"/>
      <c r="E97" s="122" t="s">
        <v>254</v>
      </c>
      <c r="F97" s="132" t="s">
        <v>255</v>
      </c>
      <c r="G97" s="132" t="s">
        <v>328</v>
      </c>
      <c r="H97" s="132" t="s">
        <v>329</v>
      </c>
      <c r="I97" s="132" t="s">
        <v>246</v>
      </c>
      <c r="J97" s="132" t="s">
        <v>246</v>
      </c>
      <c r="K97" s="132" t="s">
        <v>246</v>
      </c>
      <c r="L97" s="132" t="s">
        <v>246</v>
      </c>
      <c r="M97" s="132" t="s">
        <v>246</v>
      </c>
      <c r="N97" s="132" t="s">
        <v>329</v>
      </c>
      <c r="O97" s="132" t="s">
        <v>329</v>
      </c>
      <c r="P97" s="132" t="s">
        <v>246</v>
      </c>
      <c r="Q97" s="132" t="s">
        <v>246</v>
      </c>
      <c r="R97" s="132" t="s">
        <v>246</v>
      </c>
      <c r="S97" s="132" t="s">
        <v>246</v>
      </c>
      <c r="T97" s="132" t="s">
        <v>328</v>
      </c>
      <c r="U97" s="132" t="s">
        <v>330</v>
      </c>
      <c r="V97" s="132" t="s">
        <v>331</v>
      </c>
      <c r="W97" s="132" t="s">
        <v>246</v>
      </c>
      <c r="X97" s="132" t="s">
        <v>246</v>
      </c>
      <c r="Y97" s="132" t="s">
        <v>246</v>
      </c>
      <c r="Z97" s="132" t="s">
        <v>330</v>
      </c>
      <c r="AA97" s="132" t="s">
        <v>251</v>
      </c>
      <c r="AB97" s="132" t="s">
        <v>331</v>
      </c>
      <c r="AC97" s="132" t="s">
        <v>331</v>
      </c>
      <c r="AD97" s="132" t="s">
        <v>328</v>
      </c>
      <c r="AE97" s="132" t="s">
        <v>246</v>
      </c>
      <c r="AF97" s="132" t="s">
        <v>246</v>
      </c>
      <c r="AG97" s="132" t="s">
        <v>246</v>
      </c>
      <c r="AH97" s="132" t="s">
        <v>329</v>
      </c>
      <c r="AI97" s="132" t="s">
        <v>329</v>
      </c>
      <c r="AJ97" s="132" t="s">
        <v>329</v>
      </c>
      <c r="AK97" s="244" t="s">
        <v>329</v>
      </c>
    </row>
    <row r="98" spans="3:37" ht="20.100000000000001" customHeight="1" x14ac:dyDescent="0.4">
      <c r="C98" s="247" t="s">
        <v>219</v>
      </c>
      <c r="D98" s="248"/>
      <c r="E98" s="215" t="s">
        <v>257</v>
      </c>
      <c r="F98" s="123" t="s">
        <v>242</v>
      </c>
      <c r="G98" s="217" t="s">
        <v>257</v>
      </c>
      <c r="H98" s="123" t="s">
        <v>242</v>
      </c>
      <c r="I98" s="123" t="s">
        <v>242</v>
      </c>
      <c r="J98" s="123" t="s">
        <v>242</v>
      </c>
      <c r="K98" s="123" t="s">
        <v>242</v>
      </c>
      <c r="L98" s="123" t="s">
        <v>242</v>
      </c>
      <c r="M98" s="123" t="s">
        <v>242</v>
      </c>
      <c r="N98" s="123" t="s">
        <v>242</v>
      </c>
      <c r="O98" s="123" t="s">
        <v>242</v>
      </c>
      <c r="P98" s="123" t="s">
        <v>242</v>
      </c>
      <c r="Q98" s="123" t="s">
        <v>242</v>
      </c>
      <c r="R98" s="123" t="s">
        <v>242</v>
      </c>
      <c r="S98" s="123" t="s">
        <v>242</v>
      </c>
      <c r="T98" s="123" t="s">
        <v>242</v>
      </c>
      <c r="U98" s="123" t="s">
        <v>242</v>
      </c>
      <c r="V98" s="123" t="s">
        <v>242</v>
      </c>
      <c r="W98" s="123" t="s">
        <v>242</v>
      </c>
      <c r="X98" s="123" t="s">
        <v>242</v>
      </c>
      <c r="Y98" s="123" t="s">
        <v>242</v>
      </c>
      <c r="Z98" s="217" t="s">
        <v>257</v>
      </c>
      <c r="AA98" s="123" t="s">
        <v>242</v>
      </c>
      <c r="AB98" s="123" t="s">
        <v>242</v>
      </c>
      <c r="AC98" s="123" t="s">
        <v>242</v>
      </c>
      <c r="AD98" s="123" t="s">
        <v>242</v>
      </c>
      <c r="AE98" s="123" t="s">
        <v>242</v>
      </c>
      <c r="AF98" s="123" t="s">
        <v>242</v>
      </c>
      <c r="AG98" s="123" t="s">
        <v>242</v>
      </c>
      <c r="AH98" s="123" t="s">
        <v>242</v>
      </c>
      <c r="AI98" s="123" t="s">
        <v>242</v>
      </c>
      <c r="AJ98" s="123" t="s">
        <v>242</v>
      </c>
      <c r="AK98" s="243" t="s">
        <v>242</v>
      </c>
    </row>
    <row r="99" spans="3:37" ht="20.100000000000001" customHeight="1" x14ac:dyDescent="0.4">
      <c r="C99" s="247" t="s">
        <v>220</v>
      </c>
      <c r="D99" s="248"/>
      <c r="E99" s="215" t="s">
        <v>259</v>
      </c>
      <c r="F99" s="217" t="s">
        <v>257</v>
      </c>
      <c r="G99" s="217" t="s">
        <v>244</v>
      </c>
      <c r="H99" s="123" t="s">
        <v>242</v>
      </c>
      <c r="I99" s="123" t="s">
        <v>242</v>
      </c>
      <c r="J99" s="123" t="s">
        <v>242</v>
      </c>
      <c r="K99" s="123" t="s">
        <v>242</v>
      </c>
      <c r="L99" s="123" t="s">
        <v>242</v>
      </c>
      <c r="M99" s="132" t="s">
        <v>252</v>
      </c>
      <c r="N99" s="217" t="s">
        <v>244</v>
      </c>
      <c r="O99" s="123" t="s">
        <v>242</v>
      </c>
      <c r="P99" s="132" t="s">
        <v>327</v>
      </c>
      <c r="Q99" s="123" t="s">
        <v>242</v>
      </c>
      <c r="R99" s="123" t="s">
        <v>242</v>
      </c>
      <c r="S99" s="123" t="s">
        <v>242</v>
      </c>
      <c r="T99" s="123" t="s">
        <v>242</v>
      </c>
      <c r="U99" s="217" t="s">
        <v>259</v>
      </c>
      <c r="V99" s="123" t="s">
        <v>242</v>
      </c>
      <c r="W99" s="123" t="s">
        <v>242</v>
      </c>
      <c r="X99" s="123" t="s">
        <v>242</v>
      </c>
      <c r="Y99" s="123" t="s">
        <v>242</v>
      </c>
      <c r="Z99" s="123" t="s">
        <v>242</v>
      </c>
      <c r="AA99" s="123" t="s">
        <v>242</v>
      </c>
      <c r="AB99" s="217" t="s">
        <v>244</v>
      </c>
      <c r="AC99" s="123" t="s">
        <v>242</v>
      </c>
      <c r="AD99" s="123" t="s">
        <v>242</v>
      </c>
      <c r="AE99" s="123" t="s">
        <v>242</v>
      </c>
      <c r="AF99" s="123" t="s">
        <v>242</v>
      </c>
      <c r="AG99" s="123" t="s">
        <v>242</v>
      </c>
      <c r="AH99" s="123" t="s">
        <v>242</v>
      </c>
      <c r="AI99" s="123" t="s">
        <v>242</v>
      </c>
      <c r="AJ99" s="123" t="s">
        <v>242</v>
      </c>
      <c r="AK99" s="243" t="s">
        <v>242</v>
      </c>
    </row>
    <row r="100" spans="3:37" ht="20.100000000000001" customHeight="1" x14ac:dyDescent="0.4">
      <c r="C100" s="247" t="s">
        <v>221</v>
      </c>
      <c r="D100" s="248"/>
      <c r="E100" s="215" t="s">
        <v>256</v>
      </c>
      <c r="F100" s="217" t="s">
        <v>256</v>
      </c>
      <c r="G100" s="217" t="s">
        <v>244</v>
      </c>
      <c r="H100" s="217" t="s">
        <v>257</v>
      </c>
      <c r="I100" s="217" t="s">
        <v>260</v>
      </c>
      <c r="J100" s="217" t="s">
        <v>260</v>
      </c>
      <c r="K100" s="217" t="s">
        <v>256</v>
      </c>
      <c r="L100" s="217" t="s">
        <v>260</v>
      </c>
      <c r="M100" s="217" t="s">
        <v>260</v>
      </c>
      <c r="N100" s="217" t="s">
        <v>257</v>
      </c>
      <c r="O100" s="217" t="s">
        <v>257</v>
      </c>
      <c r="P100" s="217" t="s">
        <v>263</v>
      </c>
      <c r="Q100" s="217" t="s">
        <v>244</v>
      </c>
      <c r="R100" s="217" t="s">
        <v>245</v>
      </c>
      <c r="S100" s="217" t="s">
        <v>245</v>
      </c>
      <c r="T100" s="217" t="s">
        <v>245</v>
      </c>
      <c r="U100" s="217" t="s">
        <v>259</v>
      </c>
      <c r="V100" s="123" t="s">
        <v>242</v>
      </c>
      <c r="W100" s="217" t="s">
        <v>260</v>
      </c>
      <c r="X100" s="217" t="s">
        <v>256</v>
      </c>
      <c r="Y100" s="217" t="s">
        <v>256</v>
      </c>
      <c r="Z100" s="217" t="s">
        <v>256</v>
      </c>
      <c r="AA100" s="217" t="s">
        <v>260</v>
      </c>
      <c r="AB100" s="123" t="s">
        <v>242</v>
      </c>
      <c r="AC100" s="123" t="s">
        <v>242</v>
      </c>
      <c r="AD100" s="217" t="s">
        <v>261</v>
      </c>
      <c r="AE100" s="217" t="s">
        <v>262</v>
      </c>
      <c r="AF100" s="217" t="s">
        <v>258</v>
      </c>
      <c r="AG100" s="217" t="s">
        <v>261</v>
      </c>
      <c r="AH100" s="123" t="s">
        <v>242</v>
      </c>
      <c r="AI100" s="123" t="s">
        <v>242</v>
      </c>
      <c r="AJ100" s="123" t="s">
        <v>242</v>
      </c>
      <c r="AK100" s="243" t="s">
        <v>242</v>
      </c>
    </row>
    <row r="101" spans="3:37" ht="20.100000000000001" customHeight="1" x14ac:dyDescent="0.4">
      <c r="C101" s="247" t="s">
        <v>222</v>
      </c>
      <c r="D101" s="248"/>
      <c r="E101" s="122" t="s">
        <v>242</v>
      </c>
      <c r="F101" s="123" t="s">
        <v>242</v>
      </c>
      <c r="G101" s="123" t="s">
        <v>242</v>
      </c>
      <c r="H101" s="123" t="s">
        <v>242</v>
      </c>
      <c r="I101" s="123" t="s">
        <v>242</v>
      </c>
      <c r="J101" s="123" t="s">
        <v>242</v>
      </c>
      <c r="K101" s="123" t="s">
        <v>242</v>
      </c>
      <c r="L101" s="123" t="s">
        <v>242</v>
      </c>
      <c r="M101" s="123" t="s">
        <v>242</v>
      </c>
      <c r="N101" s="123" t="s">
        <v>242</v>
      </c>
      <c r="O101" s="123" t="s">
        <v>242</v>
      </c>
      <c r="P101" s="123" t="s">
        <v>242</v>
      </c>
      <c r="Q101" s="123" t="s">
        <v>242</v>
      </c>
      <c r="R101" s="123" t="s">
        <v>242</v>
      </c>
      <c r="S101" s="123" t="s">
        <v>242</v>
      </c>
      <c r="T101" s="123" t="s">
        <v>242</v>
      </c>
      <c r="U101" s="123" t="s">
        <v>242</v>
      </c>
      <c r="V101" s="123" t="s">
        <v>242</v>
      </c>
      <c r="W101" s="123" t="s">
        <v>242</v>
      </c>
      <c r="X101" s="123" t="s">
        <v>242</v>
      </c>
      <c r="Y101" s="123" t="s">
        <v>242</v>
      </c>
      <c r="Z101" s="123" t="s">
        <v>242</v>
      </c>
      <c r="AA101" s="123" t="s">
        <v>242</v>
      </c>
      <c r="AB101" s="123" t="s">
        <v>242</v>
      </c>
      <c r="AC101" s="123" t="s">
        <v>242</v>
      </c>
      <c r="AD101" s="123" t="s">
        <v>242</v>
      </c>
      <c r="AE101" s="123" t="s">
        <v>242</v>
      </c>
      <c r="AF101" s="123" t="s">
        <v>242</v>
      </c>
      <c r="AG101" s="123" t="s">
        <v>242</v>
      </c>
      <c r="AH101" s="123" t="s">
        <v>242</v>
      </c>
      <c r="AI101" s="123" t="s">
        <v>242</v>
      </c>
      <c r="AJ101" s="123" t="s">
        <v>242</v>
      </c>
      <c r="AK101" s="243" t="s">
        <v>242</v>
      </c>
    </row>
    <row r="102" spans="3:37" ht="20.100000000000001" customHeight="1" thickBot="1" x14ac:dyDescent="0.45">
      <c r="C102" s="245" t="s">
        <v>232</v>
      </c>
      <c r="D102" s="246"/>
      <c r="E102" s="6" t="s">
        <v>332</v>
      </c>
      <c r="F102" s="7" t="s">
        <v>333</v>
      </c>
      <c r="G102" s="7" t="s">
        <v>334</v>
      </c>
      <c r="H102" s="7" t="s">
        <v>335</v>
      </c>
      <c r="I102" s="7" t="s">
        <v>336</v>
      </c>
      <c r="J102" s="7" t="s">
        <v>336</v>
      </c>
      <c r="K102" s="7" t="s">
        <v>337</v>
      </c>
      <c r="L102" s="7" t="s">
        <v>338</v>
      </c>
      <c r="M102" s="7" t="s">
        <v>360</v>
      </c>
      <c r="N102" s="7" t="s">
        <v>339</v>
      </c>
      <c r="O102" s="7" t="s">
        <v>331</v>
      </c>
      <c r="P102" s="7" t="s">
        <v>361</v>
      </c>
      <c r="Q102" s="7" t="s">
        <v>362</v>
      </c>
      <c r="R102" s="7" t="s">
        <v>341</v>
      </c>
      <c r="S102" s="7" t="s">
        <v>341</v>
      </c>
      <c r="T102" s="7" t="s">
        <v>342</v>
      </c>
      <c r="U102" s="7" t="s">
        <v>343</v>
      </c>
      <c r="V102" s="7" t="s">
        <v>331</v>
      </c>
      <c r="W102" s="7" t="s">
        <v>338</v>
      </c>
      <c r="X102" s="7" t="s">
        <v>342</v>
      </c>
      <c r="Y102" s="7" t="s">
        <v>337</v>
      </c>
      <c r="Z102" s="7" t="s">
        <v>344</v>
      </c>
      <c r="AA102" s="7" t="s">
        <v>345</v>
      </c>
      <c r="AB102" s="7" t="s">
        <v>339</v>
      </c>
      <c r="AC102" s="7" t="s">
        <v>331</v>
      </c>
      <c r="AD102" s="7" t="s">
        <v>340</v>
      </c>
      <c r="AE102" s="7" t="s">
        <v>345</v>
      </c>
      <c r="AF102" s="7" t="s">
        <v>346</v>
      </c>
      <c r="AG102" s="7" t="s">
        <v>347</v>
      </c>
      <c r="AH102" s="7" t="s">
        <v>329</v>
      </c>
      <c r="AI102" s="7" t="s">
        <v>329</v>
      </c>
      <c r="AJ102" s="7" t="s">
        <v>329</v>
      </c>
      <c r="AK102" s="11" t="s">
        <v>329</v>
      </c>
    </row>
    <row r="103" spans="3:37" ht="20.100000000000001" customHeight="1" x14ac:dyDescent="0.4">
      <c r="E103" s="114" t="s">
        <v>348</v>
      </c>
    </row>
  </sheetData>
  <mergeCells count="21">
    <mergeCell ref="C88:D88"/>
    <mergeCell ref="C85:D85"/>
    <mergeCell ref="C86:D86"/>
    <mergeCell ref="C87:D87"/>
    <mergeCell ref="BB3:BB4"/>
    <mergeCell ref="AL3:AS3"/>
    <mergeCell ref="AT3:BA3"/>
    <mergeCell ref="C89:D89"/>
    <mergeCell ref="C90:D90"/>
    <mergeCell ref="C91:D91"/>
    <mergeCell ref="C95:D95"/>
    <mergeCell ref="C96:D96"/>
    <mergeCell ref="C92:D92"/>
    <mergeCell ref="C93:D93"/>
    <mergeCell ref="C94:D94"/>
    <mergeCell ref="C102:D102"/>
    <mergeCell ref="C101:D101"/>
    <mergeCell ref="C100:D100"/>
    <mergeCell ref="C97:D97"/>
    <mergeCell ref="C98:D98"/>
    <mergeCell ref="C99:D99"/>
  </mergeCells>
  <phoneticPr fontId="1"/>
  <conditionalFormatting sqref="E5:AK82">
    <cfRule type="endsWith" dxfId="45" priority="1" stopIfTrue="1" operator="endsWith" text="休">
      <formula>RIGHT(E5,LEN("休"))="休"</formula>
    </cfRule>
    <cfRule type="endsWith" dxfId="44" priority="2" stopIfTrue="1" operator="endsWith" text="年">
      <formula>RIGHT(E5,LEN("年"))="年"</formula>
    </cfRule>
    <cfRule type="endsWith" dxfId="43" priority="3" stopIfTrue="1" operator="endsWith" text="夏">
      <formula>RIGHT(E5,LEN("夏"))="夏"</formula>
    </cfRule>
    <cfRule type="endsWith" dxfId="42" priority="4" stopIfTrue="1" operator="endsWith" text="特">
      <formula>RIGHT(E5,LEN("特"))="特"</formula>
    </cfRule>
    <cfRule type="endsWith" dxfId="41" priority="5" stopIfTrue="1" operator="endsWith" text="育">
      <formula>RIGHT(E5,LEN("育"))="育"</formula>
    </cfRule>
    <cfRule type="endsWith" dxfId="40" priority="6" stopIfTrue="1" operator="endsWith" text="産">
      <formula>RIGHT(E5,LEN("産"))="産"</formula>
    </cfRule>
    <cfRule type="endsWith" dxfId="39" priority="7" stopIfTrue="1" operator="endsWith" text="忌">
      <formula>RIGHT(E5,LEN("忌"))="忌"</formula>
    </cfRule>
    <cfRule type="endsWith" dxfId="38" priority="8" stopIfTrue="1" operator="endsWith" text="半">
      <formula>RIGHT(E5,LEN("半"))="半"</formula>
    </cfRule>
    <cfRule type="endsWith" dxfId="37" priority="9" stopIfTrue="1" operator="endsWith" text="張">
      <formula>RIGHT(E5,LEN("張"))="張"</formula>
    </cfRule>
    <cfRule type="endsWith" dxfId="36" priority="10" stopIfTrue="1" operator="endsWith" text="×">
      <formula>RIGHT(E5,LEN("×"))="×"</formula>
    </cfRule>
    <cfRule type="endsWith" dxfId="35" priority="11" stopIfTrue="1" operator="endsWith" text="A夜">
      <formula>RIGHT(E5,LEN("A夜"))="A夜"</formula>
    </cfRule>
    <cfRule type="endsWith" dxfId="34" priority="12" stopIfTrue="1" operator="endsWith" text="M夜">
      <formula>RIGHT(E5,LEN("M夜"))="M夜"</formula>
    </cfRule>
    <cfRule type="endsWith" dxfId="33" priority="13" stopIfTrue="1" operator="endsWith" text="C夜">
      <formula>RIGHT(E5,LEN("C夜"))="C夜"</formula>
    </cfRule>
    <cfRule type="endsWith" dxfId="32" priority="14" stopIfTrue="1" operator="endsWith" text="A日">
      <formula>RIGHT(E5,LEN("A日"))="A日"</formula>
    </cfRule>
    <cfRule type="endsWith" dxfId="31" priority="15" stopIfTrue="1" operator="endsWith" text="M日">
      <formula>RIGHT(E5,LEN("M日"))="M日"</formula>
    </cfRule>
    <cfRule type="endsWith" dxfId="30" priority="16" stopIfTrue="1" operator="endsWith" text="C日">
      <formula>RIGHT(E5,LEN("C日"))="C日"</formula>
    </cfRule>
    <cfRule type="endsWith" dxfId="29" priority="17" stopIfTrue="1" operator="endsWith" text="F日">
      <formula>RIGHT(E5,LEN("F日"))="F日"</formula>
    </cfRule>
    <cfRule type="endsWith" dxfId="28" priority="18" stopIfTrue="1" operator="endsWith" text="明">
      <formula>RIGHT(E5,LEN("明"))="明"</formula>
    </cfRule>
    <cfRule type="endsWith" dxfId="27" priority="19" stopIfTrue="1" operator="endsWith" text="RT">
      <formula>RIGHT(E5,LEN("RT"))="RT"</formula>
    </cfRule>
    <cfRule type="endsWith" dxfId="26" priority="20" stopIfTrue="1" operator="endsWith" text="MR">
      <formula>RIGHT(E5,LEN("MR"))="MR"</formula>
    </cfRule>
    <cfRule type="endsWith" dxfId="25" priority="21" stopIfTrue="1" operator="endsWith" text="TV">
      <formula>RIGHT(E5,LEN("TV"))="TV"</formula>
    </cfRule>
    <cfRule type="endsWith" dxfId="24" priority="22" stopIfTrue="1" operator="endsWith" text="KS">
      <formula>RIGHT(E5,LEN("KS"))="KS"</formula>
    </cfRule>
    <cfRule type="endsWith" dxfId="23" priority="23" stopIfTrue="1" operator="endsWith" text="NM">
      <formula>RIGHT(E5,LEN("NM"))="NM"</formula>
    </cfRule>
    <cfRule type="endsWith" dxfId="22" priority="24" stopIfTrue="1" operator="endsWith" text="XP">
      <formula>RIGHT(E5,LEN("XP"))="XP"</formula>
    </cfRule>
    <cfRule type="endsWith" dxfId="21" priority="25" stopIfTrue="1" operator="endsWith" text="MG">
      <formula>RIGHT(E5,LEN("MG"))="MG"</formula>
    </cfRule>
    <cfRule type="endsWith" dxfId="20" priority="26" stopIfTrue="1" operator="endsWith" text="MT">
      <formula>RIGHT(E5,LEN("MT"))="MT"</formula>
    </cfRule>
    <cfRule type="endsWith" dxfId="19" priority="27" stopIfTrue="1" operator="endsWith" text="CT">
      <formula>RIGHT(E5,LEN("CT"))="CT"</formula>
    </cfRule>
    <cfRule type="endsWith" dxfId="18" priority="28" stopIfTrue="1" operator="endsWith" text="XO">
      <formula>RIGHT(E5,LEN("XO"))="XO"</formula>
    </cfRule>
    <cfRule type="endsWith" dxfId="17" priority="29" stopIfTrue="1" operator="endsWith" text="AG">
      <formula>RIGHT(E5,LEN("AG"))="AG"</formula>
    </cfRule>
    <cfRule type="endsWith" dxfId="16" priority="30" stopIfTrue="1" operator="endsWith" text="FR">
      <formula>RIGHT(E5,LEN("FR"))="FR"</formula>
    </cfRule>
    <cfRule type="endsWith" dxfId="15" priority="31" stopIfTrue="1" operator="endsWith" text="AS">
      <formula>RIGHT(E5,LEN("AS"))="AS"</formula>
    </cfRule>
    <cfRule type="endsWith" dxfId="14" priority="32" stopIfTrue="1" operator="endsWith" text="ET">
      <formula>RIGHT(E5,LEN("ET"))="ET"</formula>
    </cfRule>
  </conditionalFormatting>
  <conditionalFormatting sqref="D5:D82">
    <cfRule type="endsWith" dxfId="13" priority="33" stopIfTrue="1" operator="endsWith" text="RT">
      <formula>RIGHT(D5,LEN("RT"))="RT"</formula>
    </cfRule>
    <cfRule type="endsWith" dxfId="12" priority="34" stopIfTrue="1" operator="endsWith" text="MR">
      <formula>RIGHT(D5,LEN("MR"))="MR"</formula>
    </cfRule>
    <cfRule type="endsWith" dxfId="11" priority="35" stopIfTrue="1" operator="endsWith" text="TV">
      <formula>RIGHT(D5,LEN("TV"))="TV"</formula>
    </cfRule>
    <cfRule type="endsWith" dxfId="10" priority="36" stopIfTrue="1" operator="endsWith" text="KS">
      <formula>RIGHT(D5,LEN("KS"))="KS"</formula>
    </cfRule>
    <cfRule type="endsWith" dxfId="9" priority="37" stopIfTrue="1" operator="endsWith" text="NM">
      <formula>RIGHT(D5,LEN("NM"))="NM"</formula>
    </cfRule>
    <cfRule type="endsWith" dxfId="8" priority="38" stopIfTrue="1" operator="endsWith" text="XP">
      <formula>RIGHT(D5,LEN("XP"))="XP"</formula>
    </cfRule>
    <cfRule type="endsWith" dxfId="7" priority="39" stopIfTrue="1" operator="endsWith" text="MG">
      <formula>RIGHT(D5,LEN("MG"))="MG"</formula>
    </cfRule>
    <cfRule type="endsWith" dxfId="6" priority="40" stopIfTrue="1" operator="endsWith" text="MT">
      <formula>RIGHT(D5,LEN("MT"))="MT"</formula>
    </cfRule>
    <cfRule type="endsWith" dxfId="5" priority="41" stopIfTrue="1" operator="endsWith" text="CT">
      <formula>RIGHT(D5,LEN("CT"))="CT"</formula>
    </cfRule>
    <cfRule type="endsWith" dxfId="4" priority="42" stopIfTrue="1" operator="endsWith" text="XO">
      <formula>RIGHT(D5,LEN("XO"))="XO"</formula>
    </cfRule>
    <cfRule type="endsWith" dxfId="3" priority="43" stopIfTrue="1" operator="endsWith" text="AG">
      <formula>RIGHT(D5,LEN("AG"))="AG"</formula>
    </cfRule>
    <cfRule type="endsWith" dxfId="2" priority="44" stopIfTrue="1" operator="endsWith" text="FR">
      <formula>RIGHT(D5,LEN("FR"))="FR"</formula>
    </cfRule>
    <cfRule type="endsWith" dxfId="1" priority="45" stopIfTrue="1" operator="endsWith" text="AS">
      <formula>RIGHT(D5,LEN("AS"))="AS"</formula>
    </cfRule>
    <cfRule type="endsWith" dxfId="0" priority="46" stopIfTrue="1" operator="endsWith" text="ET">
      <formula>RIGHT(D5,LEN("ET"))="ET"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142875</xdr:colOff>
                <xdr:row>1</xdr:row>
                <xdr:rowOff>38100</xdr:rowOff>
              </from>
              <to>
                <xdr:col>2</xdr:col>
                <xdr:colOff>800100</xdr:colOff>
                <xdr:row>2</xdr:row>
                <xdr:rowOff>171450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5"/>
  <sheetViews>
    <sheetView zoomScale="115" zoomScaleNormal="115" workbookViewId="0">
      <selection activeCell="E22" sqref="E22"/>
    </sheetView>
  </sheetViews>
  <sheetFormatPr defaultColWidth="9" defaultRowHeight="15.95" customHeight="1" x14ac:dyDescent="0.4"/>
  <cols>
    <col min="1" max="2" width="5.625" style="1" customWidth="1"/>
    <col min="3" max="10" width="10.625" style="1" customWidth="1"/>
    <col min="11" max="16384" width="9" style="1"/>
  </cols>
  <sheetData>
    <row r="3" spans="1:10" ht="15.95" customHeight="1" thickBot="1" x14ac:dyDescent="0.45"/>
    <row r="4" spans="1:10" ht="15.95" customHeight="1" thickBot="1" x14ac:dyDescent="0.45">
      <c r="C4" s="20" t="s">
        <v>0</v>
      </c>
      <c r="D4" s="19" t="s">
        <v>1</v>
      </c>
      <c r="E4" s="19" t="s">
        <v>2</v>
      </c>
      <c r="F4" s="19" t="s">
        <v>3</v>
      </c>
      <c r="G4" s="19" t="s">
        <v>4</v>
      </c>
      <c r="H4" s="19" t="s">
        <v>5</v>
      </c>
      <c r="I4" s="19" t="s">
        <v>6</v>
      </c>
      <c r="J4" s="21" t="s">
        <v>6</v>
      </c>
    </row>
    <row r="5" spans="1:10" ht="15.95" customHeight="1" x14ac:dyDescent="0.4">
      <c r="A5" s="22">
        <v>45261</v>
      </c>
      <c r="B5" s="23">
        <v>45261</v>
      </c>
      <c r="C5" s="207"/>
      <c r="D5" s="2" t="s">
        <v>143</v>
      </c>
      <c r="E5" s="2"/>
      <c r="F5" s="2"/>
      <c r="G5" s="2"/>
      <c r="H5" s="2"/>
      <c r="I5" s="2"/>
      <c r="J5" s="39"/>
    </row>
    <row r="6" spans="1:10" ht="15.95" customHeight="1" x14ac:dyDescent="0.4">
      <c r="A6" s="24">
        <v>45262</v>
      </c>
      <c r="B6" s="25">
        <v>45262</v>
      </c>
      <c r="C6" s="208"/>
      <c r="D6" s="3"/>
      <c r="E6" s="3"/>
      <c r="F6" s="3"/>
      <c r="G6" s="3"/>
      <c r="H6" s="3"/>
      <c r="I6" s="3"/>
      <c r="J6" s="40"/>
    </row>
    <row r="7" spans="1:10" ht="15.95" customHeight="1" x14ac:dyDescent="0.4">
      <c r="A7" s="24">
        <v>45263</v>
      </c>
      <c r="B7" s="25">
        <v>45263</v>
      </c>
      <c r="C7" s="208"/>
      <c r="D7" s="3"/>
      <c r="E7" s="3"/>
      <c r="F7" s="3"/>
      <c r="G7" s="3"/>
      <c r="H7" s="3"/>
      <c r="I7" s="3"/>
      <c r="J7" s="40"/>
    </row>
    <row r="8" spans="1:10" ht="15.95" customHeight="1" x14ac:dyDescent="0.4">
      <c r="A8" s="24">
        <v>45264</v>
      </c>
      <c r="B8" s="25">
        <v>45264</v>
      </c>
      <c r="C8" s="208"/>
      <c r="D8" s="3"/>
      <c r="E8" s="3"/>
      <c r="F8" s="3"/>
      <c r="G8" s="3"/>
      <c r="H8" s="3"/>
      <c r="I8" s="3"/>
      <c r="J8" s="40"/>
    </row>
    <row r="9" spans="1:10" ht="15.95" customHeight="1" x14ac:dyDescent="0.4">
      <c r="A9" s="24">
        <v>45265</v>
      </c>
      <c r="B9" s="25">
        <v>45265</v>
      </c>
      <c r="C9" s="208"/>
      <c r="D9" s="3"/>
      <c r="E9" s="3"/>
      <c r="F9" s="3"/>
      <c r="G9" s="3"/>
      <c r="H9" s="3"/>
      <c r="I9" s="3"/>
      <c r="J9" s="40"/>
    </row>
    <row r="10" spans="1:10" ht="15.95" customHeight="1" x14ac:dyDescent="0.4">
      <c r="A10" s="24">
        <v>45266</v>
      </c>
      <c r="B10" s="25">
        <v>45266</v>
      </c>
      <c r="C10" s="208"/>
      <c r="D10" s="3"/>
      <c r="E10" s="3"/>
      <c r="F10" s="3"/>
      <c r="G10" s="3"/>
      <c r="H10" s="3"/>
      <c r="I10" s="3"/>
      <c r="J10" s="40"/>
    </row>
    <row r="11" spans="1:10" ht="15.95" customHeight="1" x14ac:dyDescent="0.4">
      <c r="A11" s="24">
        <v>45267</v>
      </c>
      <c r="B11" s="25">
        <v>45267</v>
      </c>
      <c r="C11" s="208"/>
      <c r="D11" s="3"/>
      <c r="E11" s="3"/>
      <c r="F11" s="3"/>
      <c r="G11" s="3"/>
      <c r="H11" s="3"/>
      <c r="I11" s="3"/>
      <c r="J11" s="40"/>
    </row>
    <row r="12" spans="1:10" ht="15.95" customHeight="1" x14ac:dyDescent="0.4">
      <c r="A12" s="24">
        <v>45268</v>
      </c>
      <c r="B12" s="25">
        <v>45268</v>
      </c>
      <c r="C12" s="208"/>
      <c r="D12" s="3"/>
      <c r="E12" s="3"/>
      <c r="F12" s="3"/>
      <c r="G12" s="3"/>
      <c r="H12" s="3"/>
      <c r="I12" s="3"/>
      <c r="J12" s="40"/>
    </row>
    <row r="13" spans="1:10" ht="15.95" customHeight="1" x14ac:dyDescent="0.4">
      <c r="A13" s="24">
        <v>45269</v>
      </c>
      <c r="B13" s="25">
        <v>45269</v>
      </c>
      <c r="C13" s="208"/>
      <c r="D13" s="3"/>
      <c r="E13" s="3"/>
      <c r="F13" s="3"/>
      <c r="G13" s="3"/>
      <c r="H13" s="3"/>
      <c r="I13" s="3"/>
      <c r="J13" s="40"/>
    </row>
    <row r="14" spans="1:10" ht="15.95" customHeight="1" x14ac:dyDescent="0.4">
      <c r="A14" s="24">
        <v>45270</v>
      </c>
      <c r="B14" s="25">
        <v>45270</v>
      </c>
      <c r="C14" s="208"/>
      <c r="D14" s="3"/>
      <c r="E14" s="3"/>
      <c r="F14" s="3"/>
      <c r="G14" s="3"/>
      <c r="H14" s="3"/>
      <c r="I14" s="3"/>
      <c r="J14" s="40"/>
    </row>
    <row r="15" spans="1:10" ht="15.95" customHeight="1" x14ac:dyDescent="0.4">
      <c r="A15" s="24">
        <v>45271</v>
      </c>
      <c r="B15" s="25">
        <v>45271</v>
      </c>
      <c r="C15" s="208"/>
      <c r="D15" s="3"/>
      <c r="E15" s="3"/>
      <c r="F15" s="3"/>
      <c r="G15" s="3"/>
      <c r="H15" s="3"/>
      <c r="I15" s="3"/>
      <c r="J15" s="40"/>
    </row>
    <row r="16" spans="1:10" ht="15.95" customHeight="1" x14ac:dyDescent="0.4">
      <c r="A16" s="24">
        <v>45272</v>
      </c>
      <c r="B16" s="25">
        <v>45272</v>
      </c>
      <c r="C16" s="208"/>
      <c r="D16" s="3"/>
      <c r="E16" s="3"/>
      <c r="F16" s="3"/>
      <c r="G16" s="3"/>
      <c r="H16" s="3"/>
      <c r="I16" s="3"/>
      <c r="J16" s="40"/>
    </row>
    <row r="17" spans="1:10" ht="15.95" customHeight="1" x14ac:dyDescent="0.4">
      <c r="A17" s="24">
        <v>45273</v>
      </c>
      <c r="B17" s="25">
        <v>45273</v>
      </c>
      <c r="C17" s="208"/>
      <c r="D17" s="3"/>
      <c r="E17" s="3"/>
      <c r="F17" s="3"/>
      <c r="G17" s="3"/>
      <c r="H17" s="3"/>
      <c r="I17" s="3"/>
      <c r="J17" s="40"/>
    </row>
    <row r="18" spans="1:10" ht="15.95" customHeight="1" x14ac:dyDescent="0.4">
      <c r="A18" s="24">
        <v>45274</v>
      </c>
      <c r="B18" s="25">
        <v>45274</v>
      </c>
      <c r="C18" s="208"/>
      <c r="D18" s="3"/>
      <c r="E18" s="3"/>
      <c r="F18" s="3"/>
      <c r="G18" s="3"/>
      <c r="H18" s="3"/>
      <c r="I18" s="3"/>
      <c r="J18" s="40"/>
    </row>
    <row r="19" spans="1:10" ht="15.95" customHeight="1" x14ac:dyDescent="0.4">
      <c r="A19" s="24">
        <v>45275</v>
      </c>
      <c r="B19" s="25">
        <v>45275</v>
      </c>
      <c r="C19" s="208" t="s">
        <v>165</v>
      </c>
      <c r="D19" s="3"/>
      <c r="E19" s="3"/>
      <c r="F19" s="3"/>
      <c r="G19" s="3"/>
      <c r="H19" s="3"/>
      <c r="I19" s="3"/>
      <c r="J19" s="40"/>
    </row>
    <row r="20" spans="1:10" ht="15.95" customHeight="1" x14ac:dyDescent="0.4">
      <c r="A20" s="24">
        <v>45276</v>
      </c>
      <c r="B20" s="25">
        <v>45276</v>
      </c>
      <c r="C20" s="208"/>
      <c r="D20" s="3" t="s">
        <v>143</v>
      </c>
      <c r="E20" s="3"/>
      <c r="F20" s="3"/>
      <c r="G20" s="3"/>
      <c r="H20" s="3"/>
      <c r="I20" s="3"/>
      <c r="J20" s="40"/>
    </row>
    <row r="21" spans="1:10" ht="15.95" customHeight="1" x14ac:dyDescent="0.4">
      <c r="A21" s="24">
        <v>45277</v>
      </c>
      <c r="B21" s="25">
        <v>45277</v>
      </c>
      <c r="C21" s="208"/>
      <c r="D21" s="3"/>
      <c r="E21" s="3"/>
      <c r="F21" s="3"/>
      <c r="G21" s="3"/>
      <c r="H21" s="3"/>
      <c r="I21" s="3"/>
      <c r="J21" s="40"/>
    </row>
    <row r="22" spans="1:10" ht="15.95" customHeight="1" x14ac:dyDescent="0.4">
      <c r="A22" s="24">
        <v>45278</v>
      </c>
      <c r="B22" s="25">
        <v>45278</v>
      </c>
      <c r="C22" s="208"/>
      <c r="D22" s="3"/>
      <c r="E22" s="3"/>
      <c r="F22" s="3"/>
      <c r="G22" s="3"/>
      <c r="H22" s="3"/>
      <c r="I22" s="3"/>
      <c r="J22" s="40"/>
    </row>
    <row r="23" spans="1:10" ht="15.95" customHeight="1" x14ac:dyDescent="0.4">
      <c r="A23" s="24">
        <v>45279</v>
      </c>
      <c r="B23" s="25">
        <v>45279</v>
      </c>
      <c r="C23" s="208"/>
      <c r="D23" s="3"/>
      <c r="E23" s="3"/>
      <c r="F23" s="3"/>
      <c r="G23" s="3"/>
      <c r="H23" s="3"/>
      <c r="I23" s="3"/>
      <c r="J23" s="40"/>
    </row>
    <row r="24" spans="1:10" ht="15.95" customHeight="1" x14ac:dyDescent="0.4">
      <c r="A24" s="24">
        <v>45280</v>
      </c>
      <c r="B24" s="25">
        <v>45280</v>
      </c>
      <c r="C24" s="208"/>
      <c r="D24" s="3"/>
      <c r="E24" s="3"/>
      <c r="F24" s="3"/>
      <c r="G24" s="3"/>
      <c r="H24" s="3"/>
      <c r="I24" s="3"/>
      <c r="J24" s="40"/>
    </row>
    <row r="25" spans="1:10" ht="15.95" customHeight="1" x14ac:dyDescent="0.4">
      <c r="A25" s="24">
        <v>45281</v>
      </c>
      <c r="B25" s="25">
        <v>45281</v>
      </c>
      <c r="C25" s="208" t="s">
        <v>169</v>
      </c>
      <c r="D25" s="3" t="s">
        <v>7</v>
      </c>
      <c r="E25" s="3"/>
      <c r="F25" s="3"/>
      <c r="G25" s="3"/>
      <c r="H25" s="3"/>
      <c r="I25" s="3"/>
      <c r="J25" s="40"/>
    </row>
    <row r="26" spans="1:10" ht="15.95" customHeight="1" x14ac:dyDescent="0.4">
      <c r="A26" s="24">
        <v>45282</v>
      </c>
      <c r="B26" s="25">
        <v>45282</v>
      </c>
      <c r="C26" s="208" t="s">
        <v>165</v>
      </c>
      <c r="D26" s="3"/>
      <c r="E26" s="3"/>
      <c r="F26" s="3"/>
      <c r="G26" s="3"/>
      <c r="H26" s="3"/>
      <c r="I26" s="3"/>
      <c r="J26" s="40"/>
    </row>
    <row r="27" spans="1:10" ht="15.95" customHeight="1" x14ac:dyDescent="0.4">
      <c r="A27" s="24">
        <v>45283</v>
      </c>
      <c r="B27" s="25">
        <v>45283</v>
      </c>
      <c r="C27" s="208"/>
      <c r="D27" s="3"/>
      <c r="E27" s="3"/>
      <c r="F27" s="3"/>
      <c r="G27" s="3"/>
      <c r="H27" s="3"/>
      <c r="I27" s="3"/>
      <c r="J27" s="40"/>
    </row>
    <row r="28" spans="1:10" ht="15.95" customHeight="1" x14ac:dyDescent="0.4">
      <c r="A28" s="24">
        <v>45284</v>
      </c>
      <c r="B28" s="25">
        <v>45284</v>
      </c>
      <c r="C28" s="208"/>
      <c r="D28" s="3"/>
      <c r="E28" s="3" t="s">
        <v>99</v>
      </c>
      <c r="F28" s="3"/>
      <c r="G28" s="3"/>
      <c r="H28" s="3"/>
      <c r="I28" s="3"/>
      <c r="J28" s="40"/>
    </row>
    <row r="29" spans="1:10" ht="15.95" customHeight="1" x14ac:dyDescent="0.4">
      <c r="A29" s="24">
        <v>45285</v>
      </c>
      <c r="B29" s="25">
        <v>45285</v>
      </c>
      <c r="C29" s="208"/>
      <c r="D29" s="3"/>
      <c r="E29" s="3"/>
      <c r="F29" s="3"/>
      <c r="G29" s="3"/>
      <c r="H29" s="3"/>
      <c r="I29" s="3"/>
      <c r="J29" s="40"/>
    </row>
    <row r="30" spans="1:10" ht="15.95" customHeight="1" x14ac:dyDescent="0.4">
      <c r="A30" s="24">
        <v>45286</v>
      </c>
      <c r="B30" s="25">
        <v>45286</v>
      </c>
      <c r="C30" s="208"/>
      <c r="D30" s="3"/>
      <c r="E30" s="3"/>
      <c r="F30" s="3"/>
      <c r="G30" s="3"/>
      <c r="H30" s="3"/>
      <c r="I30" s="3"/>
      <c r="J30" s="40"/>
    </row>
    <row r="31" spans="1:10" ht="15.95" customHeight="1" x14ac:dyDescent="0.4">
      <c r="A31" s="24">
        <v>45287</v>
      </c>
      <c r="B31" s="25">
        <v>45287</v>
      </c>
      <c r="C31" s="208"/>
      <c r="D31" s="3"/>
      <c r="E31" s="3"/>
      <c r="F31" s="3"/>
      <c r="G31" s="3"/>
      <c r="H31" s="3"/>
      <c r="I31" s="3"/>
      <c r="J31" s="40"/>
    </row>
    <row r="32" spans="1:10" ht="15.95" customHeight="1" x14ac:dyDescent="0.4">
      <c r="A32" s="24">
        <v>45288</v>
      </c>
      <c r="B32" s="25">
        <v>45288</v>
      </c>
      <c r="C32" s="208"/>
      <c r="D32" s="3"/>
      <c r="E32" s="3"/>
      <c r="F32" s="3"/>
      <c r="G32" s="3"/>
      <c r="H32" s="3"/>
      <c r="I32" s="3"/>
      <c r="J32" s="40"/>
    </row>
    <row r="33" spans="1:10" ht="15.95" customHeight="1" x14ac:dyDescent="0.4">
      <c r="A33" s="24">
        <v>45289</v>
      </c>
      <c r="B33" s="25">
        <v>45289</v>
      </c>
      <c r="C33" s="208"/>
      <c r="D33" s="3"/>
      <c r="E33" s="3"/>
      <c r="F33" s="3"/>
      <c r="G33" s="3"/>
      <c r="H33" s="3"/>
      <c r="I33" s="3"/>
      <c r="J33" s="40"/>
    </row>
    <row r="34" spans="1:10" ht="15.95" customHeight="1" x14ac:dyDescent="0.4">
      <c r="A34" s="24">
        <v>45290</v>
      </c>
      <c r="B34" s="25">
        <v>45290</v>
      </c>
      <c r="C34" s="208"/>
      <c r="D34" s="3"/>
      <c r="E34" s="3"/>
      <c r="F34" s="3"/>
      <c r="G34" s="3"/>
      <c r="H34" s="3"/>
      <c r="I34" s="3"/>
      <c r="J34" s="40"/>
    </row>
    <row r="35" spans="1:10" ht="15.95" customHeight="1" thickBot="1" x14ac:dyDescent="0.45">
      <c r="A35" s="26">
        <v>45291</v>
      </c>
      <c r="B35" s="27">
        <v>45291</v>
      </c>
      <c r="C35" s="6"/>
      <c r="D35" s="7"/>
      <c r="E35" s="7"/>
      <c r="F35" s="7"/>
      <c r="G35" s="7"/>
      <c r="H35" s="7"/>
      <c r="I35" s="7"/>
      <c r="J35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2</xdr:col>
                <xdr:colOff>419100</xdr:colOff>
                <xdr:row>2</xdr:row>
                <xdr:rowOff>123825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8"/>
  <sheetViews>
    <sheetView zoomScale="85" zoomScaleNormal="85" workbookViewId="0">
      <pane ySplit="2" topLeftCell="A3" activePane="bottomLeft" state="frozenSplit"/>
      <selection pane="bottomLeft" activeCell="L13" sqref="L13"/>
    </sheetView>
  </sheetViews>
  <sheetFormatPr defaultColWidth="9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4" width="5.625" style="1" customWidth="1"/>
    <col min="5" max="25" width="6.625" style="1" customWidth="1"/>
    <col min="26" max="16384" width="9" style="1"/>
  </cols>
  <sheetData>
    <row r="1" spans="1:25" ht="50.1" customHeight="1" x14ac:dyDescent="0.4">
      <c r="E1" s="150" t="s">
        <v>8</v>
      </c>
      <c r="F1" s="146" t="s">
        <v>8</v>
      </c>
      <c r="G1" s="147" t="s">
        <v>8</v>
      </c>
      <c r="H1" s="146" t="s">
        <v>8</v>
      </c>
      <c r="I1" s="147" t="s">
        <v>8</v>
      </c>
      <c r="J1" s="146" t="s">
        <v>8</v>
      </c>
      <c r="K1" s="147" t="s">
        <v>8</v>
      </c>
      <c r="L1" s="146" t="s">
        <v>8</v>
      </c>
      <c r="M1" s="147" t="s">
        <v>8</v>
      </c>
      <c r="N1" s="146" t="s">
        <v>8</v>
      </c>
      <c r="O1" s="147" t="s">
        <v>8</v>
      </c>
      <c r="P1" s="146" t="s">
        <v>8</v>
      </c>
      <c r="Q1" s="147" t="s">
        <v>8</v>
      </c>
      <c r="R1" s="146" t="s">
        <v>8</v>
      </c>
      <c r="S1" s="148" t="s">
        <v>9</v>
      </c>
      <c r="T1" s="146" t="s">
        <v>9</v>
      </c>
      <c r="U1" s="148" t="s">
        <v>9</v>
      </c>
      <c r="V1" s="149" t="s">
        <v>10</v>
      </c>
      <c r="W1" s="146" t="s">
        <v>10</v>
      </c>
      <c r="X1" s="149" t="s">
        <v>10</v>
      </c>
      <c r="Y1" s="151" t="s">
        <v>10</v>
      </c>
    </row>
    <row r="2" spans="1:25" ht="99.95" customHeight="1" thickBot="1" x14ac:dyDescent="0.45">
      <c r="E2" s="162" t="s">
        <v>11</v>
      </c>
      <c r="F2" s="142" t="s">
        <v>12</v>
      </c>
      <c r="G2" s="143" t="s">
        <v>13</v>
      </c>
      <c r="H2" s="142" t="s">
        <v>14</v>
      </c>
      <c r="I2" s="143" t="s">
        <v>15</v>
      </c>
      <c r="J2" s="142" t="s">
        <v>16</v>
      </c>
      <c r="K2" s="143" t="s">
        <v>19</v>
      </c>
      <c r="L2" s="142" t="s">
        <v>20</v>
      </c>
      <c r="M2" s="143" t="s">
        <v>21</v>
      </c>
      <c r="N2" s="142" t="s">
        <v>22</v>
      </c>
      <c r="O2" s="143" t="s">
        <v>17</v>
      </c>
      <c r="P2" s="142" t="s">
        <v>18</v>
      </c>
      <c r="Q2" s="143" t="s">
        <v>23</v>
      </c>
      <c r="R2" s="142" t="s">
        <v>24</v>
      </c>
      <c r="S2" s="144" t="s">
        <v>25</v>
      </c>
      <c r="T2" s="142" t="s">
        <v>26</v>
      </c>
      <c r="U2" s="144" t="s">
        <v>27</v>
      </c>
      <c r="V2" s="145" t="s">
        <v>28</v>
      </c>
      <c r="W2" s="142" t="s">
        <v>29</v>
      </c>
      <c r="X2" s="145" t="s">
        <v>30</v>
      </c>
      <c r="Y2" s="163" t="s">
        <v>31</v>
      </c>
    </row>
    <row r="3" spans="1:25" ht="20.100000000000001" customHeight="1" x14ac:dyDescent="0.4">
      <c r="A3" s="8">
        <v>4</v>
      </c>
      <c r="B3" s="5" t="s">
        <v>36</v>
      </c>
      <c r="C3" s="5" t="s">
        <v>37</v>
      </c>
      <c r="D3" s="136" t="s">
        <v>38</v>
      </c>
      <c r="E3" s="133" t="s">
        <v>35</v>
      </c>
      <c r="F3" s="28" t="s">
        <v>32</v>
      </c>
      <c r="G3" s="128" t="s">
        <v>32</v>
      </c>
      <c r="H3" s="28" t="s">
        <v>32</v>
      </c>
      <c r="I3" s="128" t="s">
        <v>32</v>
      </c>
      <c r="J3" s="28" t="s">
        <v>32</v>
      </c>
      <c r="K3" s="128" t="s">
        <v>32</v>
      </c>
      <c r="L3" s="28" t="s">
        <v>32</v>
      </c>
      <c r="M3" s="128" t="s">
        <v>32</v>
      </c>
      <c r="N3" s="28" t="s">
        <v>33</v>
      </c>
      <c r="O3" s="128" t="s">
        <v>32</v>
      </c>
      <c r="P3" s="28" t="s">
        <v>32</v>
      </c>
      <c r="Q3" s="128" t="s">
        <v>32</v>
      </c>
      <c r="R3" s="28" t="s">
        <v>32</v>
      </c>
      <c r="S3" s="29" t="s">
        <v>32</v>
      </c>
      <c r="T3" s="28" t="s">
        <v>32</v>
      </c>
      <c r="U3" s="29" t="s">
        <v>32</v>
      </c>
      <c r="V3" s="30" t="s">
        <v>32</v>
      </c>
      <c r="W3" s="28" t="s">
        <v>32</v>
      </c>
      <c r="X3" s="30" t="s">
        <v>32</v>
      </c>
      <c r="Y3" s="34" t="s">
        <v>32</v>
      </c>
    </row>
    <row r="4" spans="1:25" ht="20.100000000000001" customHeight="1" x14ac:dyDescent="0.4">
      <c r="A4" s="9">
        <v>20</v>
      </c>
      <c r="B4" s="3" t="s">
        <v>39</v>
      </c>
      <c r="C4" s="3" t="s">
        <v>40</v>
      </c>
      <c r="D4" s="40" t="s">
        <v>38</v>
      </c>
      <c r="E4" s="134" t="s">
        <v>35</v>
      </c>
      <c r="F4" s="31" t="s">
        <v>32</v>
      </c>
      <c r="G4" s="129" t="s">
        <v>32</v>
      </c>
      <c r="H4" s="31" t="s">
        <v>32</v>
      </c>
      <c r="I4" s="129" t="s">
        <v>32</v>
      </c>
      <c r="J4" s="31" t="s">
        <v>32</v>
      </c>
      <c r="K4" s="129" t="s">
        <v>32</v>
      </c>
      <c r="L4" s="31" t="s">
        <v>32</v>
      </c>
      <c r="M4" s="129" t="s">
        <v>32</v>
      </c>
      <c r="N4" s="31" t="s">
        <v>32</v>
      </c>
      <c r="O4" s="129" t="s">
        <v>32</v>
      </c>
      <c r="P4" s="31" t="s">
        <v>32</v>
      </c>
      <c r="Q4" s="129" t="s">
        <v>32</v>
      </c>
      <c r="R4" s="31" t="s">
        <v>32</v>
      </c>
      <c r="S4" s="32" t="s">
        <v>32</v>
      </c>
      <c r="T4" s="31" t="s">
        <v>32</v>
      </c>
      <c r="U4" s="32" t="s">
        <v>32</v>
      </c>
      <c r="V4" s="33" t="s">
        <v>32</v>
      </c>
      <c r="W4" s="31" t="s">
        <v>32</v>
      </c>
      <c r="X4" s="33" t="s">
        <v>32</v>
      </c>
      <c r="Y4" s="35" t="s">
        <v>32</v>
      </c>
    </row>
    <row r="5" spans="1:25" ht="20.100000000000001" customHeight="1" x14ac:dyDescent="0.4">
      <c r="A5" s="9">
        <v>32</v>
      </c>
      <c r="B5" s="3" t="s">
        <v>41</v>
      </c>
      <c r="C5" s="3" t="s">
        <v>42</v>
      </c>
      <c r="D5" s="40" t="s">
        <v>38</v>
      </c>
      <c r="E5" s="134" t="s">
        <v>35</v>
      </c>
      <c r="F5" s="31" t="s">
        <v>32</v>
      </c>
      <c r="G5" s="129" t="s">
        <v>32</v>
      </c>
      <c r="H5" s="31" t="s">
        <v>32</v>
      </c>
      <c r="I5" s="129" t="s">
        <v>32</v>
      </c>
      <c r="J5" s="31" t="s">
        <v>32</v>
      </c>
      <c r="K5" s="129" t="s">
        <v>32</v>
      </c>
      <c r="L5" s="31" t="s">
        <v>32</v>
      </c>
      <c r="M5" s="129" t="s">
        <v>32</v>
      </c>
      <c r="N5" s="31" t="s">
        <v>33</v>
      </c>
      <c r="O5" s="129" t="s">
        <v>32</v>
      </c>
      <c r="P5" s="31" t="s">
        <v>32</v>
      </c>
      <c r="Q5" s="129" t="s">
        <v>32</v>
      </c>
      <c r="R5" s="31" t="s">
        <v>32</v>
      </c>
      <c r="S5" s="32" t="s">
        <v>32</v>
      </c>
      <c r="T5" s="31" t="s">
        <v>32</v>
      </c>
      <c r="U5" s="32" t="s">
        <v>32</v>
      </c>
      <c r="V5" s="33" t="s">
        <v>32</v>
      </c>
      <c r="W5" s="31" t="s">
        <v>32</v>
      </c>
      <c r="X5" s="33" t="s">
        <v>32</v>
      </c>
      <c r="Y5" s="35" t="s">
        <v>32</v>
      </c>
    </row>
    <row r="6" spans="1:25" ht="20.100000000000001" customHeight="1" x14ac:dyDescent="0.4">
      <c r="A6" s="9">
        <v>36</v>
      </c>
      <c r="B6" s="3" t="s">
        <v>43</v>
      </c>
      <c r="C6" s="3" t="s">
        <v>44</v>
      </c>
      <c r="D6" s="40" t="s">
        <v>38</v>
      </c>
      <c r="E6" s="134" t="s">
        <v>35</v>
      </c>
      <c r="F6" s="31" t="s">
        <v>32</v>
      </c>
      <c r="G6" s="129" t="s">
        <v>32</v>
      </c>
      <c r="H6" s="31" t="s">
        <v>32</v>
      </c>
      <c r="I6" s="129" t="s">
        <v>32</v>
      </c>
      <c r="J6" s="31" t="s">
        <v>33</v>
      </c>
      <c r="K6" s="129" t="s">
        <v>32</v>
      </c>
      <c r="L6" s="31" t="s">
        <v>32</v>
      </c>
      <c r="M6" s="129" t="s">
        <v>32</v>
      </c>
      <c r="N6" s="31" t="s">
        <v>33</v>
      </c>
      <c r="O6" s="129" t="s">
        <v>32</v>
      </c>
      <c r="P6" s="31" t="s">
        <v>32</v>
      </c>
      <c r="Q6" s="129" t="s">
        <v>32</v>
      </c>
      <c r="R6" s="31" t="s">
        <v>32</v>
      </c>
      <c r="S6" s="32" t="s">
        <v>32</v>
      </c>
      <c r="T6" s="31" t="s">
        <v>32</v>
      </c>
      <c r="U6" s="32" t="s">
        <v>32</v>
      </c>
      <c r="V6" s="33" t="s">
        <v>32</v>
      </c>
      <c r="W6" s="31" t="s">
        <v>32</v>
      </c>
      <c r="X6" s="33" t="s">
        <v>32</v>
      </c>
      <c r="Y6" s="35" t="s">
        <v>32</v>
      </c>
    </row>
    <row r="7" spans="1:25" ht="20.100000000000001" customHeight="1" x14ac:dyDescent="0.4">
      <c r="A7" s="13">
        <v>41</v>
      </c>
      <c r="B7" s="4" t="s">
        <v>45</v>
      </c>
      <c r="C7" s="4" t="s">
        <v>46</v>
      </c>
      <c r="D7" s="41" t="s">
        <v>38</v>
      </c>
      <c r="E7" s="157" t="s">
        <v>35</v>
      </c>
      <c r="F7" s="158" t="s">
        <v>32</v>
      </c>
      <c r="G7" s="159" t="s">
        <v>32</v>
      </c>
      <c r="H7" s="158" t="s">
        <v>33</v>
      </c>
      <c r="I7" s="159" t="s">
        <v>32</v>
      </c>
      <c r="J7" s="158" t="s">
        <v>33</v>
      </c>
      <c r="K7" s="159" t="s">
        <v>32</v>
      </c>
      <c r="L7" s="158" t="s">
        <v>32</v>
      </c>
      <c r="M7" s="159" t="s">
        <v>32</v>
      </c>
      <c r="N7" s="158" t="s">
        <v>33</v>
      </c>
      <c r="O7" s="159" t="s">
        <v>32</v>
      </c>
      <c r="P7" s="158" t="s">
        <v>32</v>
      </c>
      <c r="Q7" s="159" t="s">
        <v>32</v>
      </c>
      <c r="R7" s="158" t="s">
        <v>32</v>
      </c>
      <c r="S7" s="160" t="s">
        <v>32</v>
      </c>
      <c r="T7" s="158" t="s">
        <v>32</v>
      </c>
      <c r="U7" s="160" t="s">
        <v>32</v>
      </c>
      <c r="V7" s="161" t="s">
        <v>32</v>
      </c>
      <c r="W7" s="158" t="s">
        <v>32</v>
      </c>
      <c r="X7" s="161" t="s">
        <v>32</v>
      </c>
      <c r="Y7" s="165" t="s">
        <v>32</v>
      </c>
    </row>
    <row r="8" spans="1:25" ht="20.100000000000001" customHeight="1" x14ac:dyDescent="0.4">
      <c r="A8" s="17">
        <v>43</v>
      </c>
      <c r="B8" s="18" t="s">
        <v>47</v>
      </c>
      <c r="C8" s="18" t="s">
        <v>48</v>
      </c>
      <c r="D8" s="42" t="s">
        <v>38</v>
      </c>
      <c r="E8" s="166" t="s">
        <v>34</v>
      </c>
      <c r="F8" s="167" t="s">
        <v>32</v>
      </c>
      <c r="G8" s="168" t="s">
        <v>32</v>
      </c>
      <c r="H8" s="167" t="s">
        <v>32</v>
      </c>
      <c r="I8" s="168" t="s">
        <v>32</v>
      </c>
      <c r="J8" s="167" t="s">
        <v>34</v>
      </c>
      <c r="K8" s="168" t="s">
        <v>32</v>
      </c>
      <c r="L8" s="167" t="s">
        <v>34</v>
      </c>
      <c r="M8" s="168" t="s">
        <v>32</v>
      </c>
      <c r="N8" s="167" t="s">
        <v>34</v>
      </c>
      <c r="O8" s="168" t="s">
        <v>33</v>
      </c>
      <c r="P8" s="167" t="s">
        <v>32</v>
      </c>
      <c r="Q8" s="168" t="s">
        <v>32</v>
      </c>
      <c r="R8" s="167" t="s">
        <v>32</v>
      </c>
      <c r="S8" s="169" t="s">
        <v>32</v>
      </c>
      <c r="T8" s="167" t="s">
        <v>32</v>
      </c>
      <c r="U8" s="169" t="s">
        <v>32</v>
      </c>
      <c r="V8" s="170" t="s">
        <v>32</v>
      </c>
      <c r="W8" s="167" t="s">
        <v>32</v>
      </c>
      <c r="X8" s="170" t="s">
        <v>32</v>
      </c>
      <c r="Y8" s="171" t="s">
        <v>32</v>
      </c>
    </row>
    <row r="9" spans="1:25" ht="20.100000000000001" customHeight="1" x14ac:dyDescent="0.4">
      <c r="A9" s="12">
        <v>90</v>
      </c>
      <c r="B9" s="2" t="s">
        <v>49</v>
      </c>
      <c r="C9" s="2" t="s">
        <v>50</v>
      </c>
      <c r="D9" s="39" t="s">
        <v>38</v>
      </c>
      <c r="E9" s="152" t="s">
        <v>34</v>
      </c>
      <c r="F9" s="153" t="s">
        <v>33</v>
      </c>
      <c r="G9" s="154" t="s">
        <v>34</v>
      </c>
      <c r="H9" s="153" t="s">
        <v>34</v>
      </c>
      <c r="I9" s="154" t="s">
        <v>32</v>
      </c>
      <c r="J9" s="153" t="s">
        <v>32</v>
      </c>
      <c r="K9" s="154" t="s">
        <v>32</v>
      </c>
      <c r="L9" s="153" t="s">
        <v>34</v>
      </c>
      <c r="M9" s="154" t="s">
        <v>32</v>
      </c>
      <c r="N9" s="153" t="s">
        <v>34</v>
      </c>
      <c r="O9" s="154" t="s">
        <v>32</v>
      </c>
      <c r="P9" s="153" t="s">
        <v>32</v>
      </c>
      <c r="Q9" s="154" t="s">
        <v>32</v>
      </c>
      <c r="R9" s="153" t="s">
        <v>32</v>
      </c>
      <c r="S9" s="155" t="s">
        <v>32</v>
      </c>
      <c r="T9" s="153" t="s">
        <v>34</v>
      </c>
      <c r="U9" s="155" t="s">
        <v>32</v>
      </c>
      <c r="V9" s="156" t="s">
        <v>32</v>
      </c>
      <c r="W9" s="153" t="s">
        <v>34</v>
      </c>
      <c r="X9" s="156" t="s">
        <v>32</v>
      </c>
      <c r="Y9" s="164" t="s">
        <v>34</v>
      </c>
    </row>
    <row r="10" spans="1:25" ht="20.100000000000001" customHeight="1" x14ac:dyDescent="0.4">
      <c r="A10" s="9">
        <v>54</v>
      </c>
      <c r="B10" s="3" t="s">
        <v>51</v>
      </c>
      <c r="C10" s="3" t="s">
        <v>52</v>
      </c>
      <c r="D10" s="40" t="s">
        <v>38</v>
      </c>
      <c r="E10" s="134" t="s">
        <v>35</v>
      </c>
      <c r="F10" s="31" t="s">
        <v>32</v>
      </c>
      <c r="G10" s="129" t="s">
        <v>32</v>
      </c>
      <c r="H10" s="31" t="s">
        <v>32</v>
      </c>
      <c r="I10" s="129" t="s">
        <v>32</v>
      </c>
      <c r="J10" s="31" t="s">
        <v>34</v>
      </c>
      <c r="K10" s="129" t="s">
        <v>32</v>
      </c>
      <c r="L10" s="31" t="s">
        <v>34</v>
      </c>
      <c r="M10" s="129" t="s">
        <v>32</v>
      </c>
      <c r="N10" s="31" t="s">
        <v>34</v>
      </c>
      <c r="O10" s="129" t="s">
        <v>32</v>
      </c>
      <c r="P10" s="31" t="s">
        <v>32</v>
      </c>
      <c r="Q10" s="129" t="s">
        <v>32</v>
      </c>
      <c r="R10" s="31" t="s">
        <v>32</v>
      </c>
      <c r="S10" s="32" t="s">
        <v>32</v>
      </c>
      <c r="T10" s="31" t="s">
        <v>32</v>
      </c>
      <c r="U10" s="32" t="s">
        <v>32</v>
      </c>
      <c r="V10" s="33" t="s">
        <v>32</v>
      </c>
      <c r="W10" s="31" t="s">
        <v>32</v>
      </c>
      <c r="X10" s="33" t="s">
        <v>32</v>
      </c>
      <c r="Y10" s="35" t="s">
        <v>32</v>
      </c>
    </row>
    <row r="11" spans="1:25" ht="20.100000000000001" customHeight="1" x14ac:dyDescent="0.4">
      <c r="A11" s="9">
        <v>56</v>
      </c>
      <c r="B11" s="3" t="s">
        <v>53</v>
      </c>
      <c r="C11" s="3" t="s">
        <v>54</v>
      </c>
      <c r="D11" s="40" t="s">
        <v>38</v>
      </c>
      <c r="E11" s="134" t="s">
        <v>34</v>
      </c>
      <c r="F11" s="31" t="s">
        <v>33</v>
      </c>
      <c r="G11" s="129" t="s">
        <v>32</v>
      </c>
      <c r="H11" s="31" t="s">
        <v>32</v>
      </c>
      <c r="I11" s="129" t="s">
        <v>32</v>
      </c>
      <c r="J11" s="31" t="s">
        <v>34</v>
      </c>
      <c r="K11" s="129" t="s">
        <v>32</v>
      </c>
      <c r="L11" s="31" t="s">
        <v>34</v>
      </c>
      <c r="M11" s="129" t="s">
        <v>32</v>
      </c>
      <c r="N11" s="31" t="s">
        <v>34</v>
      </c>
      <c r="O11" s="129" t="s">
        <v>32</v>
      </c>
      <c r="P11" s="31" t="s">
        <v>32</v>
      </c>
      <c r="Q11" s="129" t="s">
        <v>32</v>
      </c>
      <c r="R11" s="31" t="s">
        <v>32</v>
      </c>
      <c r="S11" s="32" t="s">
        <v>32</v>
      </c>
      <c r="T11" s="31" t="s">
        <v>32</v>
      </c>
      <c r="U11" s="32" t="s">
        <v>32</v>
      </c>
      <c r="V11" s="33" t="s">
        <v>32</v>
      </c>
      <c r="W11" s="31" t="s">
        <v>32</v>
      </c>
      <c r="X11" s="33" t="s">
        <v>32</v>
      </c>
      <c r="Y11" s="35" t="s">
        <v>34</v>
      </c>
    </row>
    <row r="12" spans="1:25" ht="20.100000000000001" customHeight="1" x14ac:dyDescent="0.4">
      <c r="A12" s="13">
        <v>62</v>
      </c>
      <c r="B12" s="4" t="s">
        <v>55</v>
      </c>
      <c r="C12" s="4" t="s">
        <v>56</v>
      </c>
      <c r="D12" s="41" t="s">
        <v>38</v>
      </c>
      <c r="E12" s="157" t="s">
        <v>34</v>
      </c>
      <c r="F12" s="158" t="s">
        <v>34</v>
      </c>
      <c r="G12" s="159" t="s">
        <v>32</v>
      </c>
      <c r="H12" s="158" t="s">
        <v>32</v>
      </c>
      <c r="I12" s="159" t="s">
        <v>32</v>
      </c>
      <c r="J12" s="158" t="s">
        <v>34</v>
      </c>
      <c r="K12" s="159" t="s">
        <v>33</v>
      </c>
      <c r="L12" s="158" t="s">
        <v>34</v>
      </c>
      <c r="M12" s="159" t="s">
        <v>32</v>
      </c>
      <c r="N12" s="158" t="s">
        <v>34</v>
      </c>
      <c r="O12" s="159" t="s">
        <v>32</v>
      </c>
      <c r="P12" s="158" t="s">
        <v>32</v>
      </c>
      <c r="Q12" s="159" t="s">
        <v>32</v>
      </c>
      <c r="R12" s="158" t="s">
        <v>32</v>
      </c>
      <c r="S12" s="160" t="s">
        <v>32</v>
      </c>
      <c r="T12" s="158" t="s">
        <v>32</v>
      </c>
      <c r="U12" s="160" t="s">
        <v>32</v>
      </c>
      <c r="V12" s="161" t="s">
        <v>32</v>
      </c>
      <c r="W12" s="158" t="s">
        <v>32</v>
      </c>
      <c r="X12" s="161" t="s">
        <v>32</v>
      </c>
      <c r="Y12" s="165" t="s">
        <v>34</v>
      </c>
    </row>
    <row r="13" spans="1:25" ht="20.100000000000001" customHeight="1" x14ac:dyDescent="0.4">
      <c r="A13" s="17">
        <v>66</v>
      </c>
      <c r="B13" s="18" t="s">
        <v>57</v>
      </c>
      <c r="C13" s="18" t="s">
        <v>58</v>
      </c>
      <c r="D13" s="42" t="s">
        <v>38</v>
      </c>
      <c r="E13" s="166" t="s">
        <v>34</v>
      </c>
      <c r="F13" s="167" t="s">
        <v>34</v>
      </c>
      <c r="G13" s="168" t="s">
        <v>32</v>
      </c>
      <c r="H13" s="167" t="s">
        <v>32</v>
      </c>
      <c r="I13" s="168" t="s">
        <v>32</v>
      </c>
      <c r="J13" s="167" t="s">
        <v>34</v>
      </c>
      <c r="K13" s="168" t="s">
        <v>33</v>
      </c>
      <c r="L13" s="167" t="s">
        <v>34</v>
      </c>
      <c r="M13" s="168" t="s">
        <v>32</v>
      </c>
      <c r="N13" s="167" t="s">
        <v>33</v>
      </c>
      <c r="O13" s="168" t="s">
        <v>33</v>
      </c>
      <c r="P13" s="167" t="s">
        <v>32</v>
      </c>
      <c r="Q13" s="168" t="s">
        <v>32</v>
      </c>
      <c r="R13" s="167" t="s">
        <v>32</v>
      </c>
      <c r="S13" s="169" t="s">
        <v>32</v>
      </c>
      <c r="T13" s="167" t="s">
        <v>32</v>
      </c>
      <c r="U13" s="169" t="s">
        <v>32</v>
      </c>
      <c r="V13" s="170" t="s">
        <v>32</v>
      </c>
      <c r="W13" s="167" t="s">
        <v>32</v>
      </c>
      <c r="X13" s="170" t="s">
        <v>32</v>
      </c>
      <c r="Y13" s="171" t="s">
        <v>34</v>
      </c>
    </row>
    <row r="14" spans="1:25" ht="20.100000000000001" customHeight="1" x14ac:dyDescent="0.4">
      <c r="A14" s="12">
        <v>8</v>
      </c>
      <c r="B14" s="2" t="s">
        <v>59</v>
      </c>
      <c r="C14" s="2" t="s">
        <v>60</v>
      </c>
      <c r="D14" s="39" t="s">
        <v>61</v>
      </c>
      <c r="E14" s="152" t="s">
        <v>32</v>
      </c>
      <c r="F14" s="153" t="s">
        <v>34</v>
      </c>
      <c r="G14" s="154" t="s">
        <v>32</v>
      </c>
      <c r="H14" s="153" t="s">
        <v>32</v>
      </c>
      <c r="I14" s="154" t="s">
        <v>32</v>
      </c>
      <c r="J14" s="153" t="s">
        <v>34</v>
      </c>
      <c r="K14" s="154" t="s">
        <v>34</v>
      </c>
      <c r="L14" s="153" t="s">
        <v>35</v>
      </c>
      <c r="M14" s="154" t="s">
        <v>32</v>
      </c>
      <c r="N14" s="153" t="s">
        <v>34</v>
      </c>
      <c r="O14" s="154" t="s">
        <v>32</v>
      </c>
      <c r="P14" s="153" t="s">
        <v>32</v>
      </c>
      <c r="Q14" s="154" t="s">
        <v>34</v>
      </c>
      <c r="R14" s="153" t="s">
        <v>32</v>
      </c>
      <c r="S14" s="155" t="s">
        <v>32</v>
      </c>
      <c r="T14" s="153" t="s">
        <v>32</v>
      </c>
      <c r="U14" s="155" t="s">
        <v>34</v>
      </c>
      <c r="V14" s="156" t="s">
        <v>32</v>
      </c>
      <c r="W14" s="153" t="s">
        <v>32</v>
      </c>
      <c r="X14" s="156" t="s">
        <v>34</v>
      </c>
      <c r="Y14" s="164" t="s">
        <v>34</v>
      </c>
    </row>
    <row r="15" spans="1:25" ht="20.100000000000001" customHeight="1" x14ac:dyDescent="0.4">
      <c r="A15" s="9">
        <v>14</v>
      </c>
      <c r="B15" s="3" t="s">
        <v>136</v>
      </c>
      <c r="C15" s="3" t="s">
        <v>137</v>
      </c>
      <c r="D15" s="40" t="s">
        <v>61</v>
      </c>
      <c r="E15" s="134" t="s">
        <v>32</v>
      </c>
      <c r="F15" s="31" t="s">
        <v>34</v>
      </c>
      <c r="G15" s="129" t="s">
        <v>32</v>
      </c>
      <c r="H15" s="31" t="s">
        <v>33</v>
      </c>
      <c r="I15" s="129" t="s">
        <v>32</v>
      </c>
      <c r="J15" s="31" t="s">
        <v>32</v>
      </c>
      <c r="K15" s="129" t="s">
        <v>32</v>
      </c>
      <c r="L15" s="31" t="s">
        <v>34</v>
      </c>
      <c r="M15" s="129" t="s">
        <v>32</v>
      </c>
      <c r="N15" s="31" t="s">
        <v>34</v>
      </c>
      <c r="O15" s="129" t="s">
        <v>32</v>
      </c>
      <c r="P15" s="31" t="s">
        <v>32</v>
      </c>
      <c r="Q15" s="129" t="s">
        <v>32</v>
      </c>
      <c r="R15" s="31" t="s">
        <v>32</v>
      </c>
      <c r="S15" s="32" t="s">
        <v>32</v>
      </c>
      <c r="T15" s="31" t="s">
        <v>32</v>
      </c>
      <c r="U15" s="32" t="s">
        <v>32</v>
      </c>
      <c r="V15" s="33" t="s">
        <v>32</v>
      </c>
      <c r="W15" s="31" t="s">
        <v>32</v>
      </c>
      <c r="X15" s="33" t="s">
        <v>32</v>
      </c>
      <c r="Y15" s="35" t="s">
        <v>32</v>
      </c>
    </row>
    <row r="16" spans="1:25" ht="20.100000000000001" customHeight="1" x14ac:dyDescent="0.4">
      <c r="A16" s="9">
        <v>34</v>
      </c>
      <c r="B16" s="3" t="s">
        <v>150</v>
      </c>
      <c r="C16" s="3" t="s">
        <v>151</v>
      </c>
      <c r="D16" s="40" t="s">
        <v>61</v>
      </c>
      <c r="E16" s="134" t="s">
        <v>32</v>
      </c>
      <c r="F16" s="31" t="s">
        <v>35</v>
      </c>
      <c r="G16" s="129" t="s">
        <v>34</v>
      </c>
      <c r="H16" s="31" t="s">
        <v>32</v>
      </c>
      <c r="I16" s="129" t="s">
        <v>32</v>
      </c>
      <c r="J16" s="31" t="s">
        <v>33</v>
      </c>
      <c r="K16" s="129" t="s">
        <v>32</v>
      </c>
      <c r="L16" s="31" t="s">
        <v>34</v>
      </c>
      <c r="M16" s="129" t="s">
        <v>235</v>
      </c>
      <c r="N16" s="31" t="s">
        <v>34</v>
      </c>
      <c r="O16" s="129" t="s">
        <v>32</v>
      </c>
      <c r="P16" s="31" t="s">
        <v>32</v>
      </c>
      <c r="Q16" s="129" t="s">
        <v>32</v>
      </c>
      <c r="R16" s="31" t="s">
        <v>32</v>
      </c>
      <c r="S16" s="32" t="s">
        <v>34</v>
      </c>
      <c r="T16" s="31" t="s">
        <v>34</v>
      </c>
      <c r="U16" s="32" t="s">
        <v>32</v>
      </c>
      <c r="V16" s="33" t="s">
        <v>34</v>
      </c>
      <c r="W16" s="31" t="s">
        <v>34</v>
      </c>
      <c r="X16" s="33" t="s">
        <v>32</v>
      </c>
      <c r="Y16" s="35" t="s">
        <v>34</v>
      </c>
    </row>
    <row r="17" spans="1:25" ht="20.100000000000001" customHeight="1" x14ac:dyDescent="0.4">
      <c r="A17" s="13">
        <v>39</v>
      </c>
      <c r="B17" s="4" t="s">
        <v>156</v>
      </c>
      <c r="C17" s="4" t="s">
        <v>157</v>
      </c>
      <c r="D17" s="41" t="s">
        <v>61</v>
      </c>
      <c r="E17" s="157" t="s">
        <v>32</v>
      </c>
      <c r="F17" s="158" t="s">
        <v>35</v>
      </c>
      <c r="G17" s="159" t="s">
        <v>33</v>
      </c>
      <c r="H17" s="158" t="s">
        <v>32</v>
      </c>
      <c r="I17" s="159" t="s">
        <v>32</v>
      </c>
      <c r="J17" s="158" t="s">
        <v>33</v>
      </c>
      <c r="K17" s="159" t="s">
        <v>32</v>
      </c>
      <c r="L17" s="158" t="s">
        <v>34</v>
      </c>
      <c r="M17" s="159" t="s">
        <v>235</v>
      </c>
      <c r="N17" s="158" t="s">
        <v>34</v>
      </c>
      <c r="O17" s="159" t="s">
        <v>32</v>
      </c>
      <c r="P17" s="158" t="s">
        <v>32</v>
      </c>
      <c r="Q17" s="159" t="s">
        <v>32</v>
      </c>
      <c r="R17" s="158" t="s">
        <v>32</v>
      </c>
      <c r="S17" s="160" t="s">
        <v>34</v>
      </c>
      <c r="T17" s="158" t="s">
        <v>34</v>
      </c>
      <c r="U17" s="160" t="s">
        <v>32</v>
      </c>
      <c r="V17" s="161" t="s">
        <v>34</v>
      </c>
      <c r="W17" s="158" t="s">
        <v>34</v>
      </c>
      <c r="X17" s="161" t="s">
        <v>32</v>
      </c>
      <c r="Y17" s="165" t="s">
        <v>34</v>
      </c>
    </row>
    <row r="18" spans="1:25" ht="20.100000000000001" customHeight="1" x14ac:dyDescent="0.4">
      <c r="A18" s="17">
        <v>50</v>
      </c>
      <c r="B18" s="18" t="s">
        <v>168</v>
      </c>
      <c r="C18" s="18" t="s">
        <v>169</v>
      </c>
      <c r="D18" s="42" t="s">
        <v>61</v>
      </c>
      <c r="E18" s="166" t="s">
        <v>32</v>
      </c>
      <c r="F18" s="167" t="s">
        <v>35</v>
      </c>
      <c r="G18" s="168" t="s">
        <v>32</v>
      </c>
      <c r="H18" s="167" t="s">
        <v>32</v>
      </c>
      <c r="I18" s="168" t="s">
        <v>32</v>
      </c>
      <c r="J18" s="167" t="s">
        <v>33</v>
      </c>
      <c r="K18" s="168" t="s">
        <v>34</v>
      </c>
      <c r="L18" s="167" t="s">
        <v>34</v>
      </c>
      <c r="M18" s="168" t="s">
        <v>35</v>
      </c>
      <c r="N18" s="167" t="s">
        <v>34</v>
      </c>
      <c r="O18" s="168" t="s">
        <v>32</v>
      </c>
      <c r="P18" s="167" t="s">
        <v>32</v>
      </c>
      <c r="Q18" s="168" t="s">
        <v>32</v>
      </c>
      <c r="R18" s="167" t="s">
        <v>32</v>
      </c>
      <c r="S18" s="169" t="s">
        <v>34</v>
      </c>
      <c r="T18" s="167" t="s">
        <v>32</v>
      </c>
      <c r="U18" s="169" t="s">
        <v>34</v>
      </c>
      <c r="V18" s="170" t="s">
        <v>34</v>
      </c>
      <c r="W18" s="167" t="s">
        <v>32</v>
      </c>
      <c r="X18" s="170" t="s">
        <v>34</v>
      </c>
      <c r="Y18" s="171" t="s">
        <v>34</v>
      </c>
    </row>
    <row r="19" spans="1:25" ht="20.100000000000001" customHeight="1" x14ac:dyDescent="0.4">
      <c r="A19" s="12">
        <v>60</v>
      </c>
      <c r="B19" s="2" t="s">
        <v>174</v>
      </c>
      <c r="C19" s="2" t="s">
        <v>175</v>
      </c>
      <c r="D19" s="39" t="s">
        <v>61</v>
      </c>
      <c r="E19" s="152" t="s">
        <v>32</v>
      </c>
      <c r="F19" s="153" t="s">
        <v>35</v>
      </c>
      <c r="G19" s="154" t="s">
        <v>34</v>
      </c>
      <c r="H19" s="153" t="s">
        <v>34</v>
      </c>
      <c r="I19" s="154" t="s">
        <v>32</v>
      </c>
      <c r="J19" s="153" t="s">
        <v>34</v>
      </c>
      <c r="K19" s="154" t="s">
        <v>32</v>
      </c>
      <c r="L19" s="153" t="s">
        <v>34</v>
      </c>
      <c r="M19" s="154" t="s">
        <v>34</v>
      </c>
      <c r="N19" s="153" t="s">
        <v>34</v>
      </c>
      <c r="O19" s="154" t="s">
        <v>32</v>
      </c>
      <c r="P19" s="153" t="s">
        <v>32</v>
      </c>
      <c r="Q19" s="154" t="s">
        <v>32</v>
      </c>
      <c r="R19" s="153" t="s">
        <v>32</v>
      </c>
      <c r="S19" s="155" t="s">
        <v>34</v>
      </c>
      <c r="T19" s="153" t="s">
        <v>34</v>
      </c>
      <c r="U19" s="155" t="s">
        <v>34</v>
      </c>
      <c r="V19" s="156" t="s">
        <v>34</v>
      </c>
      <c r="W19" s="153" t="s">
        <v>34</v>
      </c>
      <c r="X19" s="156" t="s">
        <v>34</v>
      </c>
      <c r="Y19" s="164" t="s">
        <v>34</v>
      </c>
    </row>
    <row r="20" spans="1:25" ht="20.100000000000001" customHeight="1" x14ac:dyDescent="0.4">
      <c r="A20" s="9">
        <v>68</v>
      </c>
      <c r="B20" s="3" t="s">
        <v>180</v>
      </c>
      <c r="C20" s="3" t="s">
        <v>181</v>
      </c>
      <c r="D20" s="40" t="s">
        <v>61</v>
      </c>
      <c r="E20" s="134" t="s">
        <v>32</v>
      </c>
      <c r="F20" s="31" t="s">
        <v>35</v>
      </c>
      <c r="G20" s="129" t="s">
        <v>33</v>
      </c>
      <c r="H20" s="31" t="s">
        <v>32</v>
      </c>
      <c r="I20" s="129" t="s">
        <v>32</v>
      </c>
      <c r="J20" s="31" t="s">
        <v>34</v>
      </c>
      <c r="K20" s="129" t="s">
        <v>34</v>
      </c>
      <c r="L20" s="31" t="s">
        <v>34</v>
      </c>
      <c r="M20" s="129" t="s">
        <v>32</v>
      </c>
      <c r="N20" s="31" t="s">
        <v>34</v>
      </c>
      <c r="O20" s="129" t="s">
        <v>32</v>
      </c>
      <c r="P20" s="31" t="s">
        <v>32</v>
      </c>
      <c r="Q20" s="129" t="s">
        <v>32</v>
      </c>
      <c r="R20" s="31" t="s">
        <v>32</v>
      </c>
      <c r="S20" s="32" t="s">
        <v>32</v>
      </c>
      <c r="T20" s="31" t="s">
        <v>34</v>
      </c>
      <c r="U20" s="32" t="s">
        <v>34</v>
      </c>
      <c r="V20" s="33" t="s">
        <v>32</v>
      </c>
      <c r="W20" s="31" t="s">
        <v>34</v>
      </c>
      <c r="X20" s="33" t="s">
        <v>34</v>
      </c>
      <c r="Y20" s="35" t="s">
        <v>34</v>
      </c>
    </row>
    <row r="21" spans="1:25" ht="20.100000000000001" customHeight="1" x14ac:dyDescent="0.4">
      <c r="A21" s="9">
        <v>75</v>
      </c>
      <c r="B21" s="3" t="s">
        <v>182</v>
      </c>
      <c r="C21" s="3" t="s">
        <v>183</v>
      </c>
      <c r="D21" s="40" t="s">
        <v>61</v>
      </c>
      <c r="E21" s="134" t="s">
        <v>32</v>
      </c>
      <c r="F21" s="31" t="s">
        <v>34</v>
      </c>
      <c r="G21" s="129" t="s">
        <v>34</v>
      </c>
      <c r="H21" s="31" t="s">
        <v>32</v>
      </c>
      <c r="I21" s="129" t="s">
        <v>32</v>
      </c>
      <c r="J21" s="31" t="s">
        <v>34</v>
      </c>
      <c r="K21" s="129" t="s">
        <v>34</v>
      </c>
      <c r="L21" s="31" t="s">
        <v>34</v>
      </c>
      <c r="M21" s="129" t="s">
        <v>32</v>
      </c>
      <c r="N21" s="31" t="s">
        <v>34</v>
      </c>
      <c r="O21" s="129" t="s">
        <v>32</v>
      </c>
      <c r="P21" s="31" t="s">
        <v>32</v>
      </c>
      <c r="Q21" s="129" t="s">
        <v>32</v>
      </c>
      <c r="R21" s="31" t="s">
        <v>32</v>
      </c>
      <c r="S21" s="32" t="s">
        <v>32</v>
      </c>
      <c r="T21" s="31" t="s">
        <v>34</v>
      </c>
      <c r="U21" s="32" t="s">
        <v>34</v>
      </c>
      <c r="V21" s="33" t="s">
        <v>32</v>
      </c>
      <c r="W21" s="31" t="s">
        <v>34</v>
      </c>
      <c r="X21" s="33" t="s">
        <v>34</v>
      </c>
      <c r="Y21" s="35" t="s">
        <v>34</v>
      </c>
    </row>
    <row r="22" spans="1:25" ht="20.100000000000001" customHeight="1" x14ac:dyDescent="0.4">
      <c r="A22" s="13">
        <v>76</v>
      </c>
      <c r="B22" s="4" t="s">
        <v>184</v>
      </c>
      <c r="C22" s="4" t="s">
        <v>185</v>
      </c>
      <c r="D22" s="41" t="s">
        <v>61</v>
      </c>
      <c r="E22" s="157" t="s">
        <v>32</v>
      </c>
      <c r="F22" s="158" t="s">
        <v>34</v>
      </c>
      <c r="G22" s="159" t="s">
        <v>32</v>
      </c>
      <c r="H22" s="158" t="s">
        <v>32</v>
      </c>
      <c r="I22" s="159" t="s">
        <v>32</v>
      </c>
      <c r="J22" s="158" t="s">
        <v>34</v>
      </c>
      <c r="K22" s="159" t="s">
        <v>34</v>
      </c>
      <c r="L22" s="158" t="s">
        <v>34</v>
      </c>
      <c r="M22" s="159" t="s">
        <v>32</v>
      </c>
      <c r="N22" s="158" t="s">
        <v>34</v>
      </c>
      <c r="O22" s="159" t="s">
        <v>34</v>
      </c>
      <c r="P22" s="158" t="s">
        <v>32</v>
      </c>
      <c r="Q22" s="159" t="s">
        <v>32</v>
      </c>
      <c r="R22" s="158" t="s">
        <v>32</v>
      </c>
      <c r="S22" s="160" t="s">
        <v>32</v>
      </c>
      <c r="T22" s="158" t="s">
        <v>32</v>
      </c>
      <c r="U22" s="160" t="s">
        <v>34</v>
      </c>
      <c r="V22" s="161" t="s">
        <v>32</v>
      </c>
      <c r="W22" s="158" t="s">
        <v>32</v>
      </c>
      <c r="X22" s="161" t="s">
        <v>34</v>
      </c>
      <c r="Y22" s="165" t="s">
        <v>34</v>
      </c>
    </row>
    <row r="23" spans="1:25" ht="20.100000000000001" customHeight="1" x14ac:dyDescent="0.4">
      <c r="A23" s="17">
        <v>81</v>
      </c>
      <c r="B23" s="18" t="s">
        <v>188</v>
      </c>
      <c r="C23" s="18" t="s">
        <v>189</v>
      </c>
      <c r="D23" s="42" t="s">
        <v>61</v>
      </c>
      <c r="E23" s="166" t="s">
        <v>32</v>
      </c>
      <c r="F23" s="167" t="s">
        <v>32</v>
      </c>
      <c r="G23" s="168" t="s">
        <v>32</v>
      </c>
      <c r="H23" s="167" t="s">
        <v>32</v>
      </c>
      <c r="I23" s="168" t="s">
        <v>32</v>
      </c>
      <c r="J23" s="167" t="s">
        <v>34</v>
      </c>
      <c r="K23" s="168" t="s">
        <v>34</v>
      </c>
      <c r="L23" s="167" t="s">
        <v>34</v>
      </c>
      <c r="M23" s="168" t="s">
        <v>235</v>
      </c>
      <c r="N23" s="167" t="s">
        <v>34</v>
      </c>
      <c r="O23" s="168" t="s">
        <v>32</v>
      </c>
      <c r="P23" s="167" t="s">
        <v>32</v>
      </c>
      <c r="Q23" s="168" t="s">
        <v>32</v>
      </c>
      <c r="R23" s="167" t="s">
        <v>32</v>
      </c>
      <c r="S23" s="169" t="s">
        <v>34</v>
      </c>
      <c r="T23" s="167" t="s">
        <v>32</v>
      </c>
      <c r="U23" s="169" t="s">
        <v>34</v>
      </c>
      <c r="V23" s="170" t="s">
        <v>34</v>
      </c>
      <c r="W23" s="167" t="s">
        <v>32</v>
      </c>
      <c r="X23" s="170" t="s">
        <v>34</v>
      </c>
      <c r="Y23" s="171" t="s">
        <v>34</v>
      </c>
    </row>
    <row r="24" spans="1:25" ht="20.100000000000001" customHeight="1" x14ac:dyDescent="0.4">
      <c r="A24" s="12">
        <v>92</v>
      </c>
      <c r="B24" s="2" t="s">
        <v>192</v>
      </c>
      <c r="C24" s="2" t="s">
        <v>193</v>
      </c>
      <c r="D24" s="39" t="s">
        <v>61</v>
      </c>
      <c r="E24" s="152" t="s">
        <v>32</v>
      </c>
      <c r="F24" s="153" t="s">
        <v>34</v>
      </c>
      <c r="G24" s="154" t="s">
        <v>32</v>
      </c>
      <c r="H24" s="153" t="s">
        <v>32</v>
      </c>
      <c r="I24" s="154" t="s">
        <v>32</v>
      </c>
      <c r="J24" s="153" t="s">
        <v>34</v>
      </c>
      <c r="K24" s="154" t="s">
        <v>34</v>
      </c>
      <c r="L24" s="153" t="s">
        <v>34</v>
      </c>
      <c r="M24" s="154" t="s">
        <v>32</v>
      </c>
      <c r="N24" s="153" t="s">
        <v>34</v>
      </c>
      <c r="O24" s="154" t="s">
        <v>32</v>
      </c>
      <c r="P24" s="153" t="s">
        <v>32</v>
      </c>
      <c r="Q24" s="154" t="s">
        <v>32</v>
      </c>
      <c r="R24" s="153" t="s">
        <v>32</v>
      </c>
      <c r="S24" s="155" t="s">
        <v>32</v>
      </c>
      <c r="T24" s="153" t="s">
        <v>32</v>
      </c>
      <c r="U24" s="155" t="s">
        <v>34</v>
      </c>
      <c r="V24" s="156" t="s">
        <v>32</v>
      </c>
      <c r="W24" s="153" t="s">
        <v>32</v>
      </c>
      <c r="X24" s="156" t="s">
        <v>34</v>
      </c>
      <c r="Y24" s="164" t="s">
        <v>34</v>
      </c>
    </row>
    <row r="25" spans="1:25" ht="20.100000000000001" customHeight="1" x14ac:dyDescent="0.4">
      <c r="A25" s="9">
        <v>2</v>
      </c>
      <c r="B25" s="3" t="s">
        <v>196</v>
      </c>
      <c r="C25" s="3" t="s">
        <v>197</v>
      </c>
      <c r="D25" s="40" t="s">
        <v>61</v>
      </c>
      <c r="E25" s="134" t="s">
        <v>32</v>
      </c>
      <c r="F25" s="31" t="s">
        <v>34</v>
      </c>
      <c r="G25" s="129" t="s">
        <v>34</v>
      </c>
      <c r="H25" s="31" t="s">
        <v>34</v>
      </c>
      <c r="I25" s="129" t="s">
        <v>32</v>
      </c>
      <c r="J25" s="31" t="s">
        <v>32</v>
      </c>
      <c r="K25" s="129" t="s">
        <v>32</v>
      </c>
      <c r="L25" s="31" t="s">
        <v>34</v>
      </c>
      <c r="M25" s="129" t="s">
        <v>32</v>
      </c>
      <c r="N25" s="31"/>
      <c r="O25" s="129" t="s">
        <v>32</v>
      </c>
      <c r="P25" s="31" t="s">
        <v>32</v>
      </c>
      <c r="Q25" s="129" t="s">
        <v>32</v>
      </c>
      <c r="R25" s="31" t="s">
        <v>32</v>
      </c>
      <c r="S25" s="32" t="s">
        <v>32</v>
      </c>
      <c r="T25" s="31" t="s">
        <v>32</v>
      </c>
      <c r="U25" s="32" t="s">
        <v>32</v>
      </c>
      <c r="V25" s="33" t="s">
        <v>32</v>
      </c>
      <c r="W25" s="31" t="s">
        <v>32</v>
      </c>
      <c r="X25" s="33" t="s">
        <v>32</v>
      </c>
      <c r="Y25" s="35" t="s">
        <v>32</v>
      </c>
    </row>
    <row r="26" spans="1:25" ht="20.100000000000001" customHeight="1" x14ac:dyDescent="0.4">
      <c r="A26" s="9">
        <v>97</v>
      </c>
      <c r="B26" s="3" t="s">
        <v>117</v>
      </c>
      <c r="C26" s="3" t="s">
        <v>118</v>
      </c>
      <c r="D26" s="40" t="s">
        <v>204</v>
      </c>
      <c r="E26" s="134" t="s">
        <v>32</v>
      </c>
      <c r="F26" s="31" t="s">
        <v>32</v>
      </c>
      <c r="G26" s="129" t="s">
        <v>33</v>
      </c>
      <c r="H26" s="31" t="s">
        <v>32</v>
      </c>
      <c r="I26" s="129" t="s">
        <v>32</v>
      </c>
      <c r="J26" s="31" t="s">
        <v>32</v>
      </c>
      <c r="K26" s="129" t="s">
        <v>32</v>
      </c>
      <c r="L26" s="31" t="s">
        <v>32</v>
      </c>
      <c r="M26" s="129" t="s">
        <v>32</v>
      </c>
      <c r="N26" s="31" t="s">
        <v>33</v>
      </c>
      <c r="O26" s="129" t="s">
        <v>32</v>
      </c>
      <c r="P26" s="31" t="s">
        <v>32</v>
      </c>
      <c r="Q26" s="129" t="s">
        <v>32</v>
      </c>
      <c r="R26" s="31" t="s">
        <v>32</v>
      </c>
      <c r="S26" s="32" t="s">
        <v>32</v>
      </c>
      <c r="T26" s="31" t="s">
        <v>32</v>
      </c>
      <c r="U26" s="32" t="s">
        <v>32</v>
      </c>
      <c r="V26" s="33" t="s">
        <v>32</v>
      </c>
      <c r="W26" s="31" t="s">
        <v>32</v>
      </c>
      <c r="X26" s="33" t="s">
        <v>32</v>
      </c>
      <c r="Y26" s="35" t="s">
        <v>32</v>
      </c>
    </row>
    <row r="27" spans="1:25" ht="20.100000000000001" customHeight="1" x14ac:dyDescent="0.4">
      <c r="A27" s="13">
        <v>10</v>
      </c>
      <c r="B27" s="4" t="s">
        <v>130</v>
      </c>
      <c r="C27" s="4" t="s">
        <v>131</v>
      </c>
      <c r="D27" s="41" t="s">
        <v>204</v>
      </c>
      <c r="E27" s="157" t="s">
        <v>32</v>
      </c>
      <c r="F27" s="158" t="s">
        <v>32</v>
      </c>
      <c r="G27" s="159" t="s">
        <v>35</v>
      </c>
      <c r="H27" s="158" t="s">
        <v>35</v>
      </c>
      <c r="I27" s="159" t="s">
        <v>32</v>
      </c>
      <c r="J27" s="158" t="s">
        <v>32</v>
      </c>
      <c r="K27" s="159" t="s">
        <v>32</v>
      </c>
      <c r="L27" s="158" t="s">
        <v>34</v>
      </c>
      <c r="M27" s="159" t="s">
        <v>32</v>
      </c>
      <c r="N27" s="158" t="s">
        <v>34</v>
      </c>
      <c r="O27" s="159" t="s">
        <v>32</v>
      </c>
      <c r="P27" s="158" t="s">
        <v>32</v>
      </c>
      <c r="Q27" s="159" t="s">
        <v>32</v>
      </c>
      <c r="R27" s="158" t="s">
        <v>32</v>
      </c>
      <c r="S27" s="160" t="s">
        <v>32</v>
      </c>
      <c r="T27" s="158" t="s">
        <v>32</v>
      </c>
      <c r="U27" s="160" t="s">
        <v>32</v>
      </c>
      <c r="V27" s="161" t="s">
        <v>32</v>
      </c>
      <c r="W27" s="158" t="s">
        <v>32</v>
      </c>
      <c r="X27" s="161" t="s">
        <v>32</v>
      </c>
      <c r="Y27" s="165" t="s">
        <v>34</v>
      </c>
    </row>
    <row r="28" spans="1:25" ht="20.100000000000001" customHeight="1" x14ac:dyDescent="0.4">
      <c r="A28" s="17">
        <v>89</v>
      </c>
      <c r="B28" s="18" t="s">
        <v>142</v>
      </c>
      <c r="C28" s="18" t="s">
        <v>143</v>
      </c>
      <c r="D28" s="42" t="s">
        <v>204</v>
      </c>
      <c r="E28" s="166" t="s">
        <v>32</v>
      </c>
      <c r="F28" s="167" t="s">
        <v>33</v>
      </c>
      <c r="G28" s="168" t="s">
        <v>34</v>
      </c>
      <c r="H28" s="167" t="s">
        <v>34</v>
      </c>
      <c r="I28" s="168" t="s">
        <v>32</v>
      </c>
      <c r="J28" s="167" t="s">
        <v>32</v>
      </c>
      <c r="K28" s="168" t="s">
        <v>32</v>
      </c>
      <c r="L28" s="167" t="s">
        <v>33</v>
      </c>
      <c r="M28" s="168" t="s">
        <v>32</v>
      </c>
      <c r="N28" s="167" t="s">
        <v>34</v>
      </c>
      <c r="O28" s="168" t="s">
        <v>32</v>
      </c>
      <c r="P28" s="167" t="s">
        <v>32</v>
      </c>
      <c r="Q28" s="168" t="s">
        <v>32</v>
      </c>
      <c r="R28" s="167" t="s">
        <v>32</v>
      </c>
      <c r="S28" s="169" t="s">
        <v>32</v>
      </c>
      <c r="T28" s="167" t="s">
        <v>34</v>
      </c>
      <c r="U28" s="169" t="s">
        <v>32</v>
      </c>
      <c r="V28" s="170" t="s">
        <v>32</v>
      </c>
      <c r="W28" s="167" t="s">
        <v>34</v>
      </c>
      <c r="X28" s="170" t="s">
        <v>32</v>
      </c>
      <c r="Y28" s="171" t="s">
        <v>34</v>
      </c>
    </row>
    <row r="29" spans="1:25" ht="20.100000000000001" customHeight="1" x14ac:dyDescent="0.4">
      <c r="A29" s="12">
        <v>27</v>
      </c>
      <c r="B29" s="2" t="s">
        <v>146</v>
      </c>
      <c r="C29" s="2" t="s">
        <v>147</v>
      </c>
      <c r="D29" s="39" t="s">
        <v>204</v>
      </c>
      <c r="E29" s="152" t="s">
        <v>32</v>
      </c>
      <c r="F29" s="153" t="s">
        <v>34</v>
      </c>
      <c r="G29" s="154" t="s">
        <v>35</v>
      </c>
      <c r="H29" s="153" t="s">
        <v>34</v>
      </c>
      <c r="I29" s="154" t="s">
        <v>32</v>
      </c>
      <c r="J29" s="153" t="s">
        <v>33</v>
      </c>
      <c r="K29" s="154" t="s">
        <v>32</v>
      </c>
      <c r="L29" s="153" t="s">
        <v>34</v>
      </c>
      <c r="M29" s="154" t="s">
        <v>34</v>
      </c>
      <c r="N29" s="153" t="s">
        <v>34</v>
      </c>
      <c r="O29" s="154" t="s">
        <v>34</v>
      </c>
      <c r="P29" s="153" t="s">
        <v>34</v>
      </c>
      <c r="Q29" s="154" t="s">
        <v>32</v>
      </c>
      <c r="R29" s="153" t="s">
        <v>32</v>
      </c>
      <c r="S29" s="155" t="s">
        <v>34</v>
      </c>
      <c r="T29" s="153" t="s">
        <v>34</v>
      </c>
      <c r="U29" s="155" t="s">
        <v>32</v>
      </c>
      <c r="V29" s="156" t="s">
        <v>34</v>
      </c>
      <c r="W29" s="153" t="s">
        <v>34</v>
      </c>
      <c r="X29" s="156" t="s">
        <v>32</v>
      </c>
      <c r="Y29" s="164" t="s">
        <v>34</v>
      </c>
    </row>
    <row r="30" spans="1:25" ht="20.100000000000001" customHeight="1" x14ac:dyDescent="0.4">
      <c r="A30" s="9">
        <v>38</v>
      </c>
      <c r="B30" s="3" t="s">
        <v>154</v>
      </c>
      <c r="C30" s="3" t="s">
        <v>155</v>
      </c>
      <c r="D30" s="40" t="s">
        <v>204</v>
      </c>
      <c r="E30" s="134" t="s">
        <v>32</v>
      </c>
      <c r="F30" s="31" t="s">
        <v>34</v>
      </c>
      <c r="G30" s="129" t="s">
        <v>35</v>
      </c>
      <c r="H30" s="31" t="s">
        <v>34</v>
      </c>
      <c r="I30" s="129" t="s">
        <v>32</v>
      </c>
      <c r="J30" s="31" t="s">
        <v>34</v>
      </c>
      <c r="K30" s="129" t="s">
        <v>34</v>
      </c>
      <c r="L30" s="31" t="s">
        <v>34</v>
      </c>
      <c r="M30" s="129" t="s">
        <v>34</v>
      </c>
      <c r="N30" s="31" t="s">
        <v>34</v>
      </c>
      <c r="O30" s="129" t="s">
        <v>34</v>
      </c>
      <c r="P30" s="31" t="s">
        <v>34</v>
      </c>
      <c r="Q30" s="129" t="s">
        <v>32</v>
      </c>
      <c r="R30" s="31" t="s">
        <v>32</v>
      </c>
      <c r="S30" s="32" t="s">
        <v>34</v>
      </c>
      <c r="T30" s="31" t="s">
        <v>34</v>
      </c>
      <c r="U30" s="32" t="s">
        <v>34</v>
      </c>
      <c r="V30" s="33" t="s">
        <v>34</v>
      </c>
      <c r="W30" s="31" t="s">
        <v>34</v>
      </c>
      <c r="X30" s="33" t="s">
        <v>34</v>
      </c>
      <c r="Y30" s="35" t="s">
        <v>34</v>
      </c>
    </row>
    <row r="31" spans="1:25" ht="20.100000000000001" customHeight="1" x14ac:dyDescent="0.4">
      <c r="A31" s="9">
        <v>17</v>
      </c>
      <c r="B31" s="3" t="s">
        <v>140</v>
      </c>
      <c r="C31" s="3" t="s">
        <v>141</v>
      </c>
      <c r="D31" s="40" t="s">
        <v>203</v>
      </c>
      <c r="E31" s="134" t="s">
        <v>34</v>
      </c>
      <c r="F31" s="31" t="s">
        <v>34</v>
      </c>
      <c r="G31" s="129" t="s">
        <v>34</v>
      </c>
      <c r="H31" s="31" t="s">
        <v>34</v>
      </c>
      <c r="I31" s="129" t="s">
        <v>35</v>
      </c>
      <c r="J31" s="31" t="s">
        <v>34</v>
      </c>
      <c r="K31" s="129" t="s">
        <v>32</v>
      </c>
      <c r="L31" s="31" t="s">
        <v>34</v>
      </c>
      <c r="M31" s="129" t="s">
        <v>32</v>
      </c>
      <c r="N31" s="31" t="s">
        <v>33</v>
      </c>
      <c r="O31" s="129" t="s">
        <v>34</v>
      </c>
      <c r="P31" s="31" t="s">
        <v>32</v>
      </c>
      <c r="Q31" s="129" t="s">
        <v>32</v>
      </c>
      <c r="R31" s="31" t="s">
        <v>32</v>
      </c>
      <c r="S31" s="32" t="s">
        <v>32</v>
      </c>
      <c r="T31" s="31" t="s">
        <v>32</v>
      </c>
      <c r="U31" s="32" t="s">
        <v>32</v>
      </c>
      <c r="V31" s="33" t="s">
        <v>32</v>
      </c>
      <c r="W31" s="31" t="s">
        <v>32</v>
      </c>
      <c r="X31" s="33" t="s">
        <v>32</v>
      </c>
      <c r="Y31" s="35" t="s">
        <v>34</v>
      </c>
    </row>
    <row r="32" spans="1:25" ht="20.100000000000001" customHeight="1" x14ac:dyDescent="0.4">
      <c r="A32" s="13">
        <v>45</v>
      </c>
      <c r="B32" s="4" t="s">
        <v>164</v>
      </c>
      <c r="C32" s="4" t="s">
        <v>165</v>
      </c>
      <c r="D32" s="41" t="s">
        <v>203</v>
      </c>
      <c r="E32" s="157" t="s">
        <v>32</v>
      </c>
      <c r="F32" s="158" t="s">
        <v>35</v>
      </c>
      <c r="G32" s="159" t="s">
        <v>34</v>
      </c>
      <c r="H32" s="158" t="s">
        <v>35</v>
      </c>
      <c r="I32" s="159" t="s">
        <v>34</v>
      </c>
      <c r="J32" s="158" t="s">
        <v>34</v>
      </c>
      <c r="K32" s="159" t="s">
        <v>32</v>
      </c>
      <c r="L32" s="158" t="s">
        <v>34</v>
      </c>
      <c r="M32" s="159" t="s">
        <v>35</v>
      </c>
      <c r="N32" s="158" t="s">
        <v>34</v>
      </c>
      <c r="O32" s="159" t="s">
        <v>32</v>
      </c>
      <c r="P32" s="158" t="s">
        <v>32</v>
      </c>
      <c r="Q32" s="159" t="s">
        <v>32</v>
      </c>
      <c r="R32" s="158" t="s">
        <v>32</v>
      </c>
      <c r="S32" s="160" t="s">
        <v>34</v>
      </c>
      <c r="T32" s="158" t="s">
        <v>34</v>
      </c>
      <c r="U32" s="160" t="s">
        <v>34</v>
      </c>
      <c r="V32" s="161" t="s">
        <v>34</v>
      </c>
      <c r="W32" s="158" t="s">
        <v>34</v>
      </c>
      <c r="X32" s="161" t="s">
        <v>34</v>
      </c>
      <c r="Y32" s="165" t="s">
        <v>34</v>
      </c>
    </row>
    <row r="33" spans="1:25" ht="20.100000000000001" customHeight="1" x14ac:dyDescent="0.4">
      <c r="A33" s="17">
        <v>46</v>
      </c>
      <c r="B33" s="18" t="s">
        <v>166</v>
      </c>
      <c r="C33" s="18" t="s">
        <v>167</v>
      </c>
      <c r="D33" s="42" t="s">
        <v>203</v>
      </c>
      <c r="E33" s="166" t="s">
        <v>32</v>
      </c>
      <c r="F33" s="167" t="s">
        <v>34</v>
      </c>
      <c r="G33" s="168" t="s">
        <v>34</v>
      </c>
      <c r="H33" s="167" t="s">
        <v>34</v>
      </c>
      <c r="I33" s="168" t="s">
        <v>32</v>
      </c>
      <c r="J33" s="167" t="s">
        <v>34</v>
      </c>
      <c r="K33" s="168" t="s">
        <v>34</v>
      </c>
      <c r="L33" s="167" t="s">
        <v>34</v>
      </c>
      <c r="M33" s="168" t="s">
        <v>32</v>
      </c>
      <c r="N33" s="167" t="s">
        <v>34</v>
      </c>
      <c r="O33" s="168" t="s">
        <v>34</v>
      </c>
      <c r="P33" s="167" t="s">
        <v>34</v>
      </c>
      <c r="Q33" s="168" t="s">
        <v>32</v>
      </c>
      <c r="R33" s="167" t="s">
        <v>32</v>
      </c>
      <c r="S33" s="169" t="s">
        <v>32</v>
      </c>
      <c r="T33" s="167" t="s">
        <v>32</v>
      </c>
      <c r="U33" s="169" t="s">
        <v>32</v>
      </c>
      <c r="V33" s="170" t="s">
        <v>32</v>
      </c>
      <c r="W33" s="167" t="s">
        <v>32</v>
      </c>
      <c r="X33" s="170" t="s">
        <v>32</v>
      </c>
      <c r="Y33" s="171" t="s">
        <v>32</v>
      </c>
    </row>
    <row r="34" spans="1:25" ht="20.100000000000001" customHeight="1" x14ac:dyDescent="0.4">
      <c r="A34" s="12">
        <v>73</v>
      </c>
      <c r="B34" s="2" t="s">
        <v>172</v>
      </c>
      <c r="C34" s="2" t="s">
        <v>173</v>
      </c>
      <c r="D34" s="39" t="s">
        <v>203</v>
      </c>
      <c r="E34" s="152" t="s">
        <v>32</v>
      </c>
      <c r="F34" s="153" t="s">
        <v>33</v>
      </c>
      <c r="G34" s="154" t="s">
        <v>34</v>
      </c>
      <c r="H34" s="153" t="s">
        <v>34</v>
      </c>
      <c r="I34" s="154" t="s">
        <v>35</v>
      </c>
      <c r="J34" s="153" t="s">
        <v>32</v>
      </c>
      <c r="K34" s="154" t="s">
        <v>32</v>
      </c>
      <c r="L34" s="153" t="s">
        <v>34</v>
      </c>
      <c r="M34" s="154" t="s">
        <v>32</v>
      </c>
      <c r="N34" s="153" t="s">
        <v>34</v>
      </c>
      <c r="O34" s="154" t="s">
        <v>32</v>
      </c>
      <c r="P34" s="153" t="s">
        <v>32</v>
      </c>
      <c r="Q34" s="154" t="s">
        <v>32</v>
      </c>
      <c r="R34" s="153" t="s">
        <v>32</v>
      </c>
      <c r="S34" s="155" t="s">
        <v>32</v>
      </c>
      <c r="T34" s="153" t="s">
        <v>34</v>
      </c>
      <c r="U34" s="155" t="s">
        <v>32</v>
      </c>
      <c r="V34" s="156" t="s">
        <v>32</v>
      </c>
      <c r="W34" s="153" t="s">
        <v>34</v>
      </c>
      <c r="X34" s="156" t="s">
        <v>32</v>
      </c>
      <c r="Y34" s="164" t="s">
        <v>34</v>
      </c>
    </row>
    <row r="35" spans="1:25" ht="20.100000000000001" customHeight="1" x14ac:dyDescent="0.4">
      <c r="A35" s="9">
        <v>67</v>
      </c>
      <c r="B35" s="3" t="s">
        <v>178</v>
      </c>
      <c r="C35" s="3" t="s">
        <v>179</v>
      </c>
      <c r="D35" s="40" t="s">
        <v>203</v>
      </c>
      <c r="E35" s="134" t="s">
        <v>32</v>
      </c>
      <c r="F35" s="31" t="s">
        <v>34</v>
      </c>
      <c r="G35" s="129" t="s">
        <v>34</v>
      </c>
      <c r="H35" s="31" t="s">
        <v>35</v>
      </c>
      <c r="I35" s="129" t="s">
        <v>32</v>
      </c>
      <c r="J35" s="31" t="s">
        <v>34</v>
      </c>
      <c r="K35" s="129" t="s">
        <v>34</v>
      </c>
      <c r="L35" s="31" t="s">
        <v>34</v>
      </c>
      <c r="M35" s="129" t="s">
        <v>34</v>
      </c>
      <c r="N35" s="31" t="s">
        <v>34</v>
      </c>
      <c r="O35" s="129" t="s">
        <v>32</v>
      </c>
      <c r="P35" s="31" t="s">
        <v>32</v>
      </c>
      <c r="Q35" s="129" t="s">
        <v>32</v>
      </c>
      <c r="R35" s="31" t="s">
        <v>32</v>
      </c>
      <c r="S35" s="32" t="s">
        <v>34</v>
      </c>
      <c r="T35" s="31" t="s">
        <v>34</v>
      </c>
      <c r="U35" s="32" t="s">
        <v>34</v>
      </c>
      <c r="V35" s="33" t="s">
        <v>34</v>
      </c>
      <c r="W35" s="31" t="s">
        <v>34</v>
      </c>
      <c r="X35" s="33" t="s">
        <v>34</v>
      </c>
      <c r="Y35" s="35" t="s">
        <v>34</v>
      </c>
    </row>
    <row r="36" spans="1:25" ht="20.100000000000001" customHeight="1" x14ac:dyDescent="0.4">
      <c r="A36" s="9">
        <v>93</v>
      </c>
      <c r="B36" s="3" t="s">
        <v>115</v>
      </c>
      <c r="C36" s="3" t="s">
        <v>116</v>
      </c>
      <c r="D36" s="40" t="s">
        <v>203</v>
      </c>
      <c r="E36" s="134" t="s">
        <v>32</v>
      </c>
      <c r="F36" s="31" t="s">
        <v>32</v>
      </c>
      <c r="G36" s="129" t="s">
        <v>32</v>
      </c>
      <c r="H36" s="31" t="s">
        <v>32</v>
      </c>
      <c r="I36" s="129" t="s">
        <v>32</v>
      </c>
      <c r="J36" s="31" t="s">
        <v>34</v>
      </c>
      <c r="K36" s="129" t="s">
        <v>34</v>
      </c>
      <c r="L36" s="31" t="s">
        <v>34</v>
      </c>
      <c r="M36" s="129" t="s">
        <v>32</v>
      </c>
      <c r="N36" s="31" t="s">
        <v>34</v>
      </c>
      <c r="O36" s="129" t="s">
        <v>34</v>
      </c>
      <c r="P36" s="31" t="s">
        <v>32</v>
      </c>
      <c r="Q36" s="129" t="s">
        <v>32</v>
      </c>
      <c r="R36" s="31" t="s">
        <v>32</v>
      </c>
      <c r="S36" s="32" t="s">
        <v>32</v>
      </c>
      <c r="T36" s="31" t="s">
        <v>32</v>
      </c>
      <c r="U36" s="32" t="s">
        <v>34</v>
      </c>
      <c r="V36" s="33" t="s">
        <v>32</v>
      </c>
      <c r="W36" s="31" t="s">
        <v>32</v>
      </c>
      <c r="X36" s="33" t="s">
        <v>34</v>
      </c>
      <c r="Y36" s="35" t="s">
        <v>34</v>
      </c>
    </row>
    <row r="37" spans="1:25" ht="20.100000000000001" customHeight="1" x14ac:dyDescent="0.4">
      <c r="A37" s="13">
        <v>12</v>
      </c>
      <c r="B37" s="4" t="s">
        <v>132</v>
      </c>
      <c r="C37" s="4" t="s">
        <v>133</v>
      </c>
      <c r="D37" s="41" t="s">
        <v>206</v>
      </c>
      <c r="E37" s="157" t="s">
        <v>235</v>
      </c>
      <c r="F37" s="158" t="s">
        <v>32</v>
      </c>
      <c r="G37" s="159" t="s">
        <v>32</v>
      </c>
      <c r="H37" s="158" t="s">
        <v>32</v>
      </c>
      <c r="I37" s="159" t="s">
        <v>35</v>
      </c>
      <c r="J37" s="158" t="s">
        <v>33</v>
      </c>
      <c r="K37" s="159" t="s">
        <v>32</v>
      </c>
      <c r="L37" s="158" t="s">
        <v>34</v>
      </c>
      <c r="M37" s="159" t="s">
        <v>32</v>
      </c>
      <c r="N37" s="158" t="s">
        <v>34</v>
      </c>
      <c r="O37" s="159" t="s">
        <v>32</v>
      </c>
      <c r="P37" s="158" t="s">
        <v>32</v>
      </c>
      <c r="Q37" s="159" t="s">
        <v>32</v>
      </c>
      <c r="R37" s="158" t="s">
        <v>32</v>
      </c>
      <c r="S37" s="160" t="s">
        <v>34</v>
      </c>
      <c r="T37" s="158" t="s">
        <v>32</v>
      </c>
      <c r="U37" s="160" t="s">
        <v>32</v>
      </c>
      <c r="V37" s="161" t="s">
        <v>34</v>
      </c>
      <c r="W37" s="158" t="s">
        <v>32</v>
      </c>
      <c r="X37" s="161" t="s">
        <v>32</v>
      </c>
      <c r="Y37" s="165" t="s">
        <v>34</v>
      </c>
    </row>
    <row r="38" spans="1:25" ht="20.100000000000001" customHeight="1" x14ac:dyDescent="0.4">
      <c r="A38" s="17">
        <v>13</v>
      </c>
      <c r="B38" s="18" t="s">
        <v>134</v>
      </c>
      <c r="C38" s="18" t="s">
        <v>135</v>
      </c>
      <c r="D38" s="42" t="s">
        <v>206</v>
      </c>
      <c r="E38" s="166" t="s">
        <v>32</v>
      </c>
      <c r="F38" s="167" t="s">
        <v>32</v>
      </c>
      <c r="G38" s="168" t="s">
        <v>32</v>
      </c>
      <c r="H38" s="167" t="s">
        <v>237</v>
      </c>
      <c r="I38" s="168" t="s">
        <v>34</v>
      </c>
      <c r="J38" s="167" t="s">
        <v>32</v>
      </c>
      <c r="K38" s="168" t="s">
        <v>32</v>
      </c>
      <c r="L38" s="167" t="s">
        <v>32</v>
      </c>
      <c r="M38" s="168" t="s">
        <v>32</v>
      </c>
      <c r="N38" s="167" t="s">
        <v>32</v>
      </c>
      <c r="O38" s="168" t="s">
        <v>32</v>
      </c>
      <c r="P38" s="167" t="s">
        <v>32</v>
      </c>
      <c r="Q38" s="168" t="s">
        <v>32</v>
      </c>
      <c r="R38" s="167" t="s">
        <v>32</v>
      </c>
      <c r="S38" s="169" t="s">
        <v>32</v>
      </c>
      <c r="T38" s="167" t="s">
        <v>32</v>
      </c>
      <c r="U38" s="169" t="s">
        <v>32</v>
      </c>
      <c r="V38" s="170" t="s">
        <v>32</v>
      </c>
      <c r="W38" s="167" t="s">
        <v>32</v>
      </c>
      <c r="X38" s="170" t="s">
        <v>32</v>
      </c>
      <c r="Y38" s="171" t="s">
        <v>32</v>
      </c>
    </row>
    <row r="39" spans="1:25" ht="20.100000000000001" customHeight="1" x14ac:dyDescent="0.4">
      <c r="A39" s="12">
        <v>96</v>
      </c>
      <c r="B39" s="2" t="s">
        <v>148</v>
      </c>
      <c r="C39" s="2" t="s">
        <v>149</v>
      </c>
      <c r="D39" s="39" t="s">
        <v>206</v>
      </c>
      <c r="E39" s="152" t="s">
        <v>32</v>
      </c>
      <c r="F39" s="153" t="s">
        <v>32</v>
      </c>
      <c r="G39" s="154" t="s">
        <v>32</v>
      </c>
      <c r="H39" s="153" t="s">
        <v>32</v>
      </c>
      <c r="I39" s="154" t="s">
        <v>35</v>
      </c>
      <c r="J39" s="153" t="s">
        <v>32</v>
      </c>
      <c r="K39" s="154" t="s">
        <v>32</v>
      </c>
      <c r="L39" s="153" t="s">
        <v>33</v>
      </c>
      <c r="M39" s="154" t="s">
        <v>32</v>
      </c>
      <c r="N39" s="153" t="s">
        <v>32</v>
      </c>
      <c r="O39" s="154" t="s">
        <v>32</v>
      </c>
      <c r="P39" s="153" t="s">
        <v>32</v>
      </c>
      <c r="Q39" s="154" t="s">
        <v>32</v>
      </c>
      <c r="R39" s="153" t="s">
        <v>32</v>
      </c>
      <c r="S39" s="155" t="s">
        <v>34</v>
      </c>
      <c r="T39" s="153" t="s">
        <v>32</v>
      </c>
      <c r="U39" s="155" t="s">
        <v>32</v>
      </c>
      <c r="V39" s="156" t="s">
        <v>34</v>
      </c>
      <c r="W39" s="153" t="s">
        <v>32</v>
      </c>
      <c r="X39" s="156" t="s">
        <v>32</v>
      </c>
      <c r="Y39" s="164" t="s">
        <v>34</v>
      </c>
    </row>
    <row r="40" spans="1:25" ht="20.100000000000001" customHeight="1" x14ac:dyDescent="0.4">
      <c r="A40" s="9">
        <v>40</v>
      </c>
      <c r="B40" s="3" t="s">
        <v>158</v>
      </c>
      <c r="C40" s="3" t="s">
        <v>159</v>
      </c>
      <c r="D40" s="40" t="s">
        <v>206</v>
      </c>
      <c r="E40" s="134" t="s">
        <v>32</v>
      </c>
      <c r="F40" s="31" t="s">
        <v>33</v>
      </c>
      <c r="G40" s="129" t="s">
        <v>34</v>
      </c>
      <c r="H40" s="31" t="s">
        <v>34</v>
      </c>
      <c r="I40" s="129" t="s">
        <v>34</v>
      </c>
      <c r="J40" s="31" t="s">
        <v>34</v>
      </c>
      <c r="K40" s="129" t="s">
        <v>32</v>
      </c>
      <c r="L40" s="31" t="s">
        <v>34</v>
      </c>
      <c r="M40" s="129" t="s">
        <v>32</v>
      </c>
      <c r="N40" s="31" t="s">
        <v>34</v>
      </c>
      <c r="O40" s="129" t="s">
        <v>34</v>
      </c>
      <c r="P40" s="31" t="s">
        <v>34</v>
      </c>
      <c r="Q40" s="129" t="s">
        <v>32</v>
      </c>
      <c r="R40" s="31" t="s">
        <v>32</v>
      </c>
      <c r="S40" s="32" t="s">
        <v>32</v>
      </c>
      <c r="T40" s="31" t="s">
        <v>32</v>
      </c>
      <c r="U40" s="32" t="s">
        <v>32</v>
      </c>
      <c r="V40" s="33" t="s">
        <v>32</v>
      </c>
      <c r="W40" s="31" t="s">
        <v>32</v>
      </c>
      <c r="X40" s="33" t="s">
        <v>32</v>
      </c>
      <c r="Y40" s="35" t="s">
        <v>32</v>
      </c>
    </row>
    <row r="41" spans="1:25" ht="20.100000000000001" customHeight="1" x14ac:dyDescent="0.4">
      <c r="A41" s="9">
        <v>42</v>
      </c>
      <c r="B41" s="3" t="s">
        <v>160</v>
      </c>
      <c r="C41" s="3" t="s">
        <v>161</v>
      </c>
      <c r="D41" s="40" t="s">
        <v>206</v>
      </c>
      <c r="E41" s="134" t="s">
        <v>32</v>
      </c>
      <c r="F41" s="31" t="s">
        <v>32</v>
      </c>
      <c r="G41" s="129" t="s">
        <v>32</v>
      </c>
      <c r="H41" s="31" t="s">
        <v>32</v>
      </c>
      <c r="I41" s="129" t="s">
        <v>35</v>
      </c>
      <c r="J41" s="31" t="s">
        <v>34</v>
      </c>
      <c r="K41" s="129" t="s">
        <v>34</v>
      </c>
      <c r="L41" s="31" t="s">
        <v>34</v>
      </c>
      <c r="M41" s="129" t="s">
        <v>235</v>
      </c>
      <c r="N41" s="31" t="s">
        <v>34</v>
      </c>
      <c r="O41" s="129" t="s">
        <v>32</v>
      </c>
      <c r="P41" s="31" t="s">
        <v>32</v>
      </c>
      <c r="Q41" s="129" t="s">
        <v>34</v>
      </c>
      <c r="R41" s="31" t="s">
        <v>32</v>
      </c>
      <c r="S41" s="32" t="s">
        <v>34</v>
      </c>
      <c r="T41" s="31" t="s">
        <v>32</v>
      </c>
      <c r="U41" s="32" t="s">
        <v>34</v>
      </c>
      <c r="V41" s="33" t="s">
        <v>34</v>
      </c>
      <c r="W41" s="31" t="s">
        <v>32</v>
      </c>
      <c r="X41" s="33" t="s">
        <v>34</v>
      </c>
      <c r="Y41" s="35" t="s">
        <v>34</v>
      </c>
    </row>
    <row r="42" spans="1:25" ht="20.100000000000001" customHeight="1" x14ac:dyDescent="0.4">
      <c r="A42" s="13">
        <v>98</v>
      </c>
      <c r="B42" s="4" t="s">
        <v>82</v>
      </c>
      <c r="C42" s="4" t="s">
        <v>83</v>
      </c>
      <c r="D42" s="41" t="s">
        <v>64</v>
      </c>
      <c r="E42" s="157" t="s">
        <v>32</v>
      </c>
      <c r="F42" s="158" t="s">
        <v>32</v>
      </c>
      <c r="G42" s="159" t="s">
        <v>32</v>
      </c>
      <c r="H42" s="158" t="s">
        <v>32</v>
      </c>
      <c r="I42" s="159" t="s">
        <v>32</v>
      </c>
      <c r="J42" s="158" t="s">
        <v>34</v>
      </c>
      <c r="K42" s="159" t="s">
        <v>32</v>
      </c>
      <c r="L42" s="158" t="s">
        <v>33</v>
      </c>
      <c r="M42" s="159" t="s">
        <v>32</v>
      </c>
      <c r="N42" s="158" t="s">
        <v>32</v>
      </c>
      <c r="O42" s="159" t="s">
        <v>32</v>
      </c>
      <c r="P42" s="158" t="s">
        <v>32</v>
      </c>
      <c r="Q42" s="159" t="s">
        <v>32</v>
      </c>
      <c r="R42" s="158" t="s">
        <v>32</v>
      </c>
      <c r="S42" s="160" t="s">
        <v>32</v>
      </c>
      <c r="T42" s="158" t="s">
        <v>32</v>
      </c>
      <c r="U42" s="160" t="s">
        <v>32</v>
      </c>
      <c r="V42" s="161" t="s">
        <v>32</v>
      </c>
      <c r="W42" s="158" t="s">
        <v>32</v>
      </c>
      <c r="X42" s="161" t="s">
        <v>32</v>
      </c>
      <c r="Y42" s="165" t="s">
        <v>34</v>
      </c>
    </row>
    <row r="43" spans="1:25" ht="20.100000000000001" customHeight="1" x14ac:dyDescent="0.4">
      <c r="A43" s="17">
        <v>18</v>
      </c>
      <c r="B43" s="18" t="s">
        <v>103</v>
      </c>
      <c r="C43" s="18" t="s">
        <v>104</v>
      </c>
      <c r="D43" s="42" t="s">
        <v>64</v>
      </c>
      <c r="E43" s="166" t="s">
        <v>32</v>
      </c>
      <c r="F43" s="167" t="s">
        <v>32</v>
      </c>
      <c r="G43" s="168" t="s">
        <v>34</v>
      </c>
      <c r="H43" s="167" t="s">
        <v>34</v>
      </c>
      <c r="I43" s="168" t="s">
        <v>34</v>
      </c>
      <c r="J43" s="167" t="s">
        <v>35</v>
      </c>
      <c r="K43" s="168" t="s">
        <v>32</v>
      </c>
      <c r="L43" s="167" t="s">
        <v>35</v>
      </c>
      <c r="M43" s="168" t="s">
        <v>32</v>
      </c>
      <c r="N43" s="167" t="s">
        <v>34</v>
      </c>
      <c r="O43" s="168" t="s">
        <v>34</v>
      </c>
      <c r="P43" s="167" t="s">
        <v>34</v>
      </c>
      <c r="Q43" s="168" t="s">
        <v>32</v>
      </c>
      <c r="R43" s="167" t="s">
        <v>32</v>
      </c>
      <c r="S43" s="169" t="s">
        <v>32</v>
      </c>
      <c r="T43" s="167" t="s">
        <v>32</v>
      </c>
      <c r="U43" s="169" t="s">
        <v>32</v>
      </c>
      <c r="V43" s="170" t="s">
        <v>32</v>
      </c>
      <c r="W43" s="167" t="s">
        <v>32</v>
      </c>
      <c r="X43" s="170" t="s">
        <v>32</v>
      </c>
      <c r="Y43" s="171" t="s">
        <v>34</v>
      </c>
    </row>
    <row r="44" spans="1:25" ht="20.100000000000001" customHeight="1" x14ac:dyDescent="0.4">
      <c r="A44" s="12">
        <v>19</v>
      </c>
      <c r="B44" s="2" t="s">
        <v>65</v>
      </c>
      <c r="C44" s="2" t="s">
        <v>66</v>
      </c>
      <c r="D44" s="39" t="s">
        <v>64</v>
      </c>
      <c r="E44" s="152" t="s">
        <v>32</v>
      </c>
      <c r="F44" s="153" t="s">
        <v>32</v>
      </c>
      <c r="G44" s="154" t="s">
        <v>32</v>
      </c>
      <c r="H44" s="153" t="s">
        <v>32</v>
      </c>
      <c r="I44" s="154" t="s">
        <v>32</v>
      </c>
      <c r="J44" s="153" t="s">
        <v>35</v>
      </c>
      <c r="K44" s="154" t="s">
        <v>34</v>
      </c>
      <c r="L44" s="153" t="s">
        <v>34</v>
      </c>
      <c r="M44" s="154" t="s">
        <v>32</v>
      </c>
      <c r="N44" s="153" t="s">
        <v>33</v>
      </c>
      <c r="O44" s="154" t="s">
        <v>34</v>
      </c>
      <c r="P44" s="153" t="s">
        <v>33</v>
      </c>
      <c r="Q44" s="154" t="s">
        <v>32</v>
      </c>
      <c r="R44" s="153" t="s">
        <v>32</v>
      </c>
      <c r="S44" s="155" t="s">
        <v>32</v>
      </c>
      <c r="T44" s="153" t="s">
        <v>32</v>
      </c>
      <c r="U44" s="155" t="s">
        <v>32</v>
      </c>
      <c r="V44" s="156" t="s">
        <v>32</v>
      </c>
      <c r="W44" s="153" t="s">
        <v>32</v>
      </c>
      <c r="X44" s="156" t="s">
        <v>32</v>
      </c>
      <c r="Y44" s="164" t="s">
        <v>32</v>
      </c>
    </row>
    <row r="45" spans="1:25" ht="20.100000000000001" customHeight="1" x14ac:dyDescent="0.4">
      <c r="A45" s="9">
        <v>28</v>
      </c>
      <c r="B45" s="3" t="s">
        <v>67</v>
      </c>
      <c r="C45" s="3" t="s">
        <v>7</v>
      </c>
      <c r="D45" s="40" t="s">
        <v>64</v>
      </c>
      <c r="E45" s="134" t="s">
        <v>32</v>
      </c>
      <c r="F45" s="31" t="s">
        <v>34</v>
      </c>
      <c r="G45" s="129" t="s">
        <v>32</v>
      </c>
      <c r="H45" s="31" t="s">
        <v>32</v>
      </c>
      <c r="I45" s="129" t="s">
        <v>32</v>
      </c>
      <c r="J45" s="31" t="s">
        <v>35</v>
      </c>
      <c r="K45" s="129" t="s">
        <v>33</v>
      </c>
      <c r="L45" s="31" t="s">
        <v>34</v>
      </c>
      <c r="M45" s="129" t="s">
        <v>32</v>
      </c>
      <c r="N45" s="31" t="s">
        <v>34</v>
      </c>
      <c r="O45" s="129" t="s">
        <v>32</v>
      </c>
      <c r="P45" s="31" t="s">
        <v>32</v>
      </c>
      <c r="Q45" s="129" t="s">
        <v>32</v>
      </c>
      <c r="R45" s="31" t="s">
        <v>32</v>
      </c>
      <c r="S45" s="32" t="s">
        <v>32</v>
      </c>
      <c r="T45" s="31" t="s">
        <v>34</v>
      </c>
      <c r="U45" s="32" t="s">
        <v>34</v>
      </c>
      <c r="V45" s="33" t="s">
        <v>32</v>
      </c>
      <c r="W45" s="31" t="s">
        <v>34</v>
      </c>
      <c r="X45" s="33" t="s">
        <v>34</v>
      </c>
      <c r="Y45" s="35" t="s">
        <v>34</v>
      </c>
    </row>
    <row r="46" spans="1:25" ht="20.100000000000001" customHeight="1" x14ac:dyDescent="0.4">
      <c r="A46" s="9">
        <v>29</v>
      </c>
      <c r="B46" s="3" t="s">
        <v>68</v>
      </c>
      <c r="C46" s="3" t="s">
        <v>69</v>
      </c>
      <c r="D46" s="40" t="s">
        <v>64</v>
      </c>
      <c r="E46" s="134" t="s">
        <v>32</v>
      </c>
      <c r="F46" s="31" t="s">
        <v>32</v>
      </c>
      <c r="G46" s="129" t="s">
        <v>32</v>
      </c>
      <c r="H46" s="31" t="s">
        <v>32</v>
      </c>
      <c r="I46" s="129" t="s">
        <v>32</v>
      </c>
      <c r="J46" s="31" t="s">
        <v>34</v>
      </c>
      <c r="K46" s="129" t="s">
        <v>34</v>
      </c>
      <c r="L46" s="31" t="s">
        <v>34</v>
      </c>
      <c r="M46" s="129" t="s">
        <v>32</v>
      </c>
      <c r="N46" s="31" t="s">
        <v>34</v>
      </c>
      <c r="O46" s="129" t="s">
        <v>34</v>
      </c>
      <c r="P46" s="31" t="s">
        <v>34</v>
      </c>
      <c r="Q46" s="129" t="s">
        <v>32</v>
      </c>
      <c r="R46" s="31" t="s">
        <v>32</v>
      </c>
      <c r="S46" s="32" t="s">
        <v>32</v>
      </c>
      <c r="T46" s="31" t="s">
        <v>32</v>
      </c>
      <c r="U46" s="32" t="s">
        <v>32</v>
      </c>
      <c r="V46" s="33" t="s">
        <v>32</v>
      </c>
      <c r="W46" s="31" t="s">
        <v>32</v>
      </c>
      <c r="X46" s="33" t="s">
        <v>32</v>
      </c>
      <c r="Y46" s="35" t="s">
        <v>34</v>
      </c>
    </row>
    <row r="47" spans="1:25" ht="20.100000000000001" customHeight="1" x14ac:dyDescent="0.4">
      <c r="A47" s="13">
        <v>33</v>
      </c>
      <c r="B47" s="4" t="s">
        <v>109</v>
      </c>
      <c r="C47" s="4" t="s">
        <v>110</v>
      </c>
      <c r="D47" s="41" t="s">
        <v>64</v>
      </c>
      <c r="E47" s="157" t="s">
        <v>32</v>
      </c>
      <c r="F47" s="158" t="s">
        <v>34</v>
      </c>
      <c r="G47" s="159" t="s">
        <v>34</v>
      </c>
      <c r="H47" s="158" t="s">
        <v>34</v>
      </c>
      <c r="I47" s="159" t="s">
        <v>32</v>
      </c>
      <c r="J47" s="158" t="s">
        <v>33</v>
      </c>
      <c r="K47" s="159" t="s">
        <v>32</v>
      </c>
      <c r="L47" s="158" t="s">
        <v>35</v>
      </c>
      <c r="M47" s="159" t="s">
        <v>235</v>
      </c>
      <c r="N47" s="158" t="s">
        <v>34</v>
      </c>
      <c r="O47" s="159" t="s">
        <v>32</v>
      </c>
      <c r="P47" s="158" t="s">
        <v>32</v>
      </c>
      <c r="Q47" s="159" t="s">
        <v>34</v>
      </c>
      <c r="R47" s="158" t="s">
        <v>32</v>
      </c>
      <c r="S47" s="160" t="s">
        <v>34</v>
      </c>
      <c r="T47" s="158" t="s">
        <v>34</v>
      </c>
      <c r="U47" s="160" t="s">
        <v>32</v>
      </c>
      <c r="V47" s="161" t="s">
        <v>34</v>
      </c>
      <c r="W47" s="158" t="s">
        <v>34</v>
      </c>
      <c r="X47" s="161" t="s">
        <v>32</v>
      </c>
      <c r="Y47" s="165" t="s">
        <v>34</v>
      </c>
    </row>
    <row r="48" spans="1:25" ht="20.100000000000001" customHeight="1" x14ac:dyDescent="0.4">
      <c r="A48" s="17">
        <v>47</v>
      </c>
      <c r="B48" s="18" t="s">
        <v>70</v>
      </c>
      <c r="C48" s="18" t="s">
        <v>71</v>
      </c>
      <c r="D48" s="42" t="s">
        <v>64</v>
      </c>
      <c r="E48" s="166" t="s">
        <v>32</v>
      </c>
      <c r="F48" s="167" t="s">
        <v>32</v>
      </c>
      <c r="G48" s="168" t="s">
        <v>33</v>
      </c>
      <c r="H48" s="167" t="s">
        <v>32</v>
      </c>
      <c r="I48" s="168" t="s">
        <v>33</v>
      </c>
      <c r="J48" s="167" t="s">
        <v>35</v>
      </c>
      <c r="K48" s="168" t="s">
        <v>34</v>
      </c>
      <c r="L48" s="167" t="s">
        <v>34</v>
      </c>
      <c r="M48" s="168" t="s">
        <v>32</v>
      </c>
      <c r="N48" s="167" t="s">
        <v>34</v>
      </c>
      <c r="O48" s="168" t="s">
        <v>35</v>
      </c>
      <c r="P48" s="167" t="s">
        <v>35</v>
      </c>
      <c r="Q48" s="168" t="s">
        <v>32</v>
      </c>
      <c r="R48" s="167" t="s">
        <v>32</v>
      </c>
      <c r="S48" s="169" t="s">
        <v>32</v>
      </c>
      <c r="T48" s="167" t="s">
        <v>32</v>
      </c>
      <c r="U48" s="169" t="s">
        <v>32</v>
      </c>
      <c r="V48" s="170" t="s">
        <v>32</v>
      </c>
      <c r="W48" s="167" t="s">
        <v>32</v>
      </c>
      <c r="X48" s="170" t="s">
        <v>32</v>
      </c>
      <c r="Y48" s="171" t="s">
        <v>32</v>
      </c>
    </row>
    <row r="49" spans="1:25" ht="20.100000000000001" customHeight="1" x14ac:dyDescent="0.4">
      <c r="A49" s="12">
        <v>78</v>
      </c>
      <c r="B49" s="2" t="s">
        <v>96</v>
      </c>
      <c r="C49" s="2" t="s">
        <v>97</v>
      </c>
      <c r="D49" s="39" t="s">
        <v>64</v>
      </c>
      <c r="E49" s="152" t="s">
        <v>32</v>
      </c>
      <c r="F49" s="153" t="s">
        <v>34</v>
      </c>
      <c r="G49" s="154" t="s">
        <v>34</v>
      </c>
      <c r="H49" s="153" t="s">
        <v>32</v>
      </c>
      <c r="I49" s="154" t="s">
        <v>32</v>
      </c>
      <c r="J49" s="153" t="s">
        <v>34</v>
      </c>
      <c r="K49" s="154" t="s">
        <v>34</v>
      </c>
      <c r="L49" s="153" t="s">
        <v>34</v>
      </c>
      <c r="M49" s="154" t="s">
        <v>32</v>
      </c>
      <c r="N49" s="153" t="s">
        <v>34</v>
      </c>
      <c r="O49" s="154" t="s">
        <v>32</v>
      </c>
      <c r="P49" s="153" t="s">
        <v>32</v>
      </c>
      <c r="Q49" s="154" t="s">
        <v>32</v>
      </c>
      <c r="R49" s="153" t="s">
        <v>32</v>
      </c>
      <c r="S49" s="155" t="s">
        <v>32</v>
      </c>
      <c r="T49" s="153" t="s">
        <v>34</v>
      </c>
      <c r="U49" s="155" t="s">
        <v>34</v>
      </c>
      <c r="V49" s="156" t="s">
        <v>32</v>
      </c>
      <c r="W49" s="153" t="s">
        <v>34</v>
      </c>
      <c r="X49" s="156" t="s">
        <v>34</v>
      </c>
      <c r="Y49" s="164" t="s">
        <v>34</v>
      </c>
    </row>
    <row r="50" spans="1:25" ht="20.100000000000001" customHeight="1" x14ac:dyDescent="0.4">
      <c r="A50" s="9">
        <v>85</v>
      </c>
      <c r="B50" s="3" t="s">
        <v>74</v>
      </c>
      <c r="C50" s="3" t="s">
        <v>75</v>
      </c>
      <c r="D50" s="40" t="s">
        <v>64</v>
      </c>
      <c r="E50" s="134" t="s">
        <v>32</v>
      </c>
      <c r="F50" s="31" t="s">
        <v>33</v>
      </c>
      <c r="G50" s="129" t="s">
        <v>32</v>
      </c>
      <c r="H50" s="31" t="s">
        <v>32</v>
      </c>
      <c r="I50" s="129" t="s">
        <v>32</v>
      </c>
      <c r="J50" s="31" t="s">
        <v>34</v>
      </c>
      <c r="K50" s="129" t="s">
        <v>235</v>
      </c>
      <c r="L50" s="31" t="s">
        <v>34</v>
      </c>
      <c r="M50" s="129" t="s">
        <v>32</v>
      </c>
      <c r="N50" s="31" t="s">
        <v>34</v>
      </c>
      <c r="O50" s="129" t="s">
        <v>32</v>
      </c>
      <c r="P50" s="31" t="s">
        <v>32</v>
      </c>
      <c r="Q50" s="129" t="s">
        <v>32</v>
      </c>
      <c r="R50" s="31" t="s">
        <v>32</v>
      </c>
      <c r="S50" s="32" t="s">
        <v>32</v>
      </c>
      <c r="T50" s="31" t="s">
        <v>34</v>
      </c>
      <c r="U50" s="32" t="s">
        <v>32</v>
      </c>
      <c r="V50" s="33" t="s">
        <v>32</v>
      </c>
      <c r="W50" s="31" t="s">
        <v>34</v>
      </c>
      <c r="X50" s="33" t="s">
        <v>32</v>
      </c>
      <c r="Y50" s="35" t="s">
        <v>34</v>
      </c>
    </row>
    <row r="51" spans="1:25" ht="20.100000000000001" customHeight="1" x14ac:dyDescent="0.4">
      <c r="A51" s="9">
        <v>79</v>
      </c>
      <c r="B51" s="3" t="s">
        <v>80</v>
      </c>
      <c r="C51" s="3" t="s">
        <v>81</v>
      </c>
      <c r="D51" s="40" t="s">
        <v>19</v>
      </c>
      <c r="E51" s="134" t="s">
        <v>32</v>
      </c>
      <c r="F51" s="31" t="s">
        <v>32</v>
      </c>
      <c r="G51" s="129" t="s">
        <v>32</v>
      </c>
      <c r="H51" s="31" t="s">
        <v>32</v>
      </c>
      <c r="I51" s="129" t="s">
        <v>32</v>
      </c>
      <c r="J51" s="31" t="s">
        <v>35</v>
      </c>
      <c r="K51" s="129" t="s">
        <v>236</v>
      </c>
      <c r="L51" s="31" t="s">
        <v>35</v>
      </c>
      <c r="M51" s="129" t="s">
        <v>32</v>
      </c>
      <c r="N51" s="31" t="s">
        <v>34</v>
      </c>
      <c r="O51" s="129" t="s">
        <v>32</v>
      </c>
      <c r="P51" s="31" t="s">
        <v>32</v>
      </c>
      <c r="Q51" s="129" t="s">
        <v>34</v>
      </c>
      <c r="R51" s="31" t="s">
        <v>32</v>
      </c>
      <c r="S51" s="32" t="s">
        <v>32</v>
      </c>
      <c r="T51" s="31" t="s">
        <v>32</v>
      </c>
      <c r="U51" s="32" t="s">
        <v>32</v>
      </c>
      <c r="V51" s="33" t="s">
        <v>32</v>
      </c>
      <c r="W51" s="31" t="s">
        <v>32</v>
      </c>
      <c r="X51" s="33" t="s">
        <v>32</v>
      </c>
      <c r="Y51" s="35" t="s">
        <v>34</v>
      </c>
    </row>
    <row r="52" spans="1:25" ht="20.100000000000001" customHeight="1" x14ac:dyDescent="0.4">
      <c r="A52" s="13">
        <v>22</v>
      </c>
      <c r="B52" s="4" t="s">
        <v>105</v>
      </c>
      <c r="C52" s="4" t="s">
        <v>106</v>
      </c>
      <c r="D52" s="41" t="s">
        <v>19</v>
      </c>
      <c r="E52" s="157" t="s">
        <v>32</v>
      </c>
      <c r="F52" s="158" t="s">
        <v>32</v>
      </c>
      <c r="G52" s="159" t="s">
        <v>32</v>
      </c>
      <c r="H52" s="158" t="s">
        <v>32</v>
      </c>
      <c r="I52" s="159" t="s">
        <v>32</v>
      </c>
      <c r="J52" s="158" t="s">
        <v>32</v>
      </c>
      <c r="K52" s="159" t="s">
        <v>34</v>
      </c>
      <c r="L52" s="158" t="s">
        <v>35</v>
      </c>
      <c r="M52" s="159" t="s">
        <v>32</v>
      </c>
      <c r="N52" s="158" t="s">
        <v>33</v>
      </c>
      <c r="O52" s="159" t="s">
        <v>32</v>
      </c>
      <c r="P52" s="158" t="s">
        <v>32</v>
      </c>
      <c r="Q52" s="159" t="s">
        <v>34</v>
      </c>
      <c r="R52" s="158" t="s">
        <v>32</v>
      </c>
      <c r="S52" s="160" t="s">
        <v>32</v>
      </c>
      <c r="T52" s="158" t="s">
        <v>32</v>
      </c>
      <c r="U52" s="160" t="s">
        <v>34</v>
      </c>
      <c r="V52" s="161" t="s">
        <v>32</v>
      </c>
      <c r="W52" s="158" t="s">
        <v>32</v>
      </c>
      <c r="X52" s="161" t="s">
        <v>34</v>
      </c>
      <c r="Y52" s="165" t="s">
        <v>34</v>
      </c>
    </row>
    <row r="53" spans="1:25" ht="20.100000000000001" customHeight="1" x14ac:dyDescent="0.4">
      <c r="A53" s="17">
        <v>30</v>
      </c>
      <c r="B53" s="18" t="s">
        <v>86</v>
      </c>
      <c r="C53" s="18" t="s">
        <v>87</v>
      </c>
      <c r="D53" s="42" t="s">
        <v>19</v>
      </c>
      <c r="E53" s="166" t="s">
        <v>32</v>
      </c>
      <c r="F53" s="167" t="s">
        <v>34</v>
      </c>
      <c r="G53" s="168" t="s">
        <v>33</v>
      </c>
      <c r="H53" s="167" t="s">
        <v>33</v>
      </c>
      <c r="I53" s="168" t="s">
        <v>32</v>
      </c>
      <c r="J53" s="167" t="s">
        <v>34</v>
      </c>
      <c r="K53" s="168" t="s">
        <v>34</v>
      </c>
      <c r="L53" s="167" t="s">
        <v>34</v>
      </c>
      <c r="M53" s="168" t="s">
        <v>235</v>
      </c>
      <c r="N53" s="167" t="s">
        <v>34</v>
      </c>
      <c r="O53" s="168" t="s">
        <v>32</v>
      </c>
      <c r="P53" s="167" t="s">
        <v>32</v>
      </c>
      <c r="Q53" s="168" t="s">
        <v>34</v>
      </c>
      <c r="R53" s="167" t="s">
        <v>32</v>
      </c>
      <c r="S53" s="169" t="s">
        <v>34</v>
      </c>
      <c r="T53" s="167" t="s">
        <v>34</v>
      </c>
      <c r="U53" s="169" t="s">
        <v>34</v>
      </c>
      <c r="V53" s="170" t="s">
        <v>34</v>
      </c>
      <c r="W53" s="167" t="s">
        <v>34</v>
      </c>
      <c r="X53" s="170" t="s">
        <v>34</v>
      </c>
      <c r="Y53" s="171" t="s">
        <v>34</v>
      </c>
    </row>
    <row r="54" spans="1:25" ht="20.100000000000001" customHeight="1" x14ac:dyDescent="0.4">
      <c r="A54" s="12">
        <v>72</v>
      </c>
      <c r="B54" s="2" t="s">
        <v>88</v>
      </c>
      <c r="C54" s="2" t="s">
        <v>89</v>
      </c>
      <c r="D54" s="39" t="s">
        <v>19</v>
      </c>
      <c r="E54" s="152" t="s">
        <v>32</v>
      </c>
      <c r="F54" s="153" t="s">
        <v>32</v>
      </c>
      <c r="G54" s="154" t="s">
        <v>32</v>
      </c>
      <c r="H54" s="153" t="s">
        <v>32</v>
      </c>
      <c r="I54" s="154" t="s">
        <v>32</v>
      </c>
      <c r="J54" s="153" t="s">
        <v>236</v>
      </c>
      <c r="K54" s="154" t="s">
        <v>35</v>
      </c>
      <c r="L54" s="153" t="s">
        <v>236</v>
      </c>
      <c r="M54" s="154" t="s">
        <v>32</v>
      </c>
      <c r="N54" s="153" t="s">
        <v>34</v>
      </c>
      <c r="O54" s="154" t="s">
        <v>32</v>
      </c>
      <c r="P54" s="153" t="s">
        <v>32</v>
      </c>
      <c r="Q54" s="154" t="s">
        <v>32</v>
      </c>
      <c r="R54" s="153" t="s">
        <v>32</v>
      </c>
      <c r="S54" s="155" t="s">
        <v>32</v>
      </c>
      <c r="T54" s="153" t="s">
        <v>32</v>
      </c>
      <c r="U54" s="155" t="s">
        <v>34</v>
      </c>
      <c r="V54" s="156" t="s">
        <v>32</v>
      </c>
      <c r="W54" s="153" t="s">
        <v>32</v>
      </c>
      <c r="X54" s="156" t="s">
        <v>34</v>
      </c>
      <c r="Y54" s="164" t="s">
        <v>34</v>
      </c>
    </row>
    <row r="55" spans="1:25" ht="20.100000000000001" customHeight="1" x14ac:dyDescent="0.4">
      <c r="A55" s="9">
        <v>35</v>
      </c>
      <c r="B55" s="3" t="s">
        <v>90</v>
      </c>
      <c r="C55" s="3" t="s">
        <v>91</v>
      </c>
      <c r="D55" s="40" t="s">
        <v>19</v>
      </c>
      <c r="E55" s="134" t="s">
        <v>32</v>
      </c>
      <c r="F55" s="31" t="s">
        <v>32</v>
      </c>
      <c r="G55" s="129" t="s">
        <v>32</v>
      </c>
      <c r="H55" s="31" t="s">
        <v>32</v>
      </c>
      <c r="I55" s="129" t="s">
        <v>32</v>
      </c>
      <c r="J55" s="31" t="s">
        <v>34</v>
      </c>
      <c r="K55" s="129" t="s">
        <v>35</v>
      </c>
      <c r="L55" s="31" t="s">
        <v>34</v>
      </c>
      <c r="M55" s="129" t="s">
        <v>34</v>
      </c>
      <c r="N55" s="31" t="s">
        <v>34</v>
      </c>
      <c r="O55" s="129" t="s">
        <v>32</v>
      </c>
      <c r="P55" s="31" t="s">
        <v>32</v>
      </c>
      <c r="Q55" s="129" t="s">
        <v>32</v>
      </c>
      <c r="R55" s="31" t="s">
        <v>32</v>
      </c>
      <c r="S55" s="32" t="s">
        <v>34</v>
      </c>
      <c r="T55" s="31" t="s">
        <v>32</v>
      </c>
      <c r="U55" s="32" t="s">
        <v>34</v>
      </c>
      <c r="V55" s="33" t="s">
        <v>34</v>
      </c>
      <c r="W55" s="31" t="s">
        <v>32</v>
      </c>
      <c r="X55" s="33" t="s">
        <v>34</v>
      </c>
      <c r="Y55" s="35" t="s">
        <v>34</v>
      </c>
    </row>
    <row r="56" spans="1:25" ht="20.100000000000001" customHeight="1" x14ac:dyDescent="0.4">
      <c r="A56" s="9">
        <v>58</v>
      </c>
      <c r="B56" s="3" t="s">
        <v>92</v>
      </c>
      <c r="C56" s="3" t="s">
        <v>93</v>
      </c>
      <c r="D56" s="40" t="s">
        <v>19</v>
      </c>
      <c r="E56" s="134" t="s">
        <v>32</v>
      </c>
      <c r="F56" s="31" t="s">
        <v>34</v>
      </c>
      <c r="G56" s="129" t="s">
        <v>34</v>
      </c>
      <c r="H56" s="31" t="s">
        <v>34</v>
      </c>
      <c r="I56" s="129" t="s">
        <v>32</v>
      </c>
      <c r="J56" s="31" t="s">
        <v>34</v>
      </c>
      <c r="K56" s="129" t="s">
        <v>35</v>
      </c>
      <c r="L56" s="31" t="s">
        <v>34</v>
      </c>
      <c r="M56" s="129" t="s">
        <v>33</v>
      </c>
      <c r="N56" s="31" t="s">
        <v>34</v>
      </c>
      <c r="O56" s="129" t="s">
        <v>32</v>
      </c>
      <c r="P56" s="31" t="s">
        <v>32</v>
      </c>
      <c r="Q56" s="129" t="s">
        <v>32</v>
      </c>
      <c r="R56" s="31" t="s">
        <v>32</v>
      </c>
      <c r="S56" s="32" t="s">
        <v>34</v>
      </c>
      <c r="T56" s="31" t="s">
        <v>34</v>
      </c>
      <c r="U56" s="32" t="s">
        <v>34</v>
      </c>
      <c r="V56" s="33" t="s">
        <v>34</v>
      </c>
      <c r="W56" s="31" t="s">
        <v>34</v>
      </c>
      <c r="X56" s="33" t="s">
        <v>34</v>
      </c>
      <c r="Y56" s="35" t="s">
        <v>34</v>
      </c>
    </row>
    <row r="57" spans="1:25" ht="20.100000000000001" customHeight="1" x14ac:dyDescent="0.4">
      <c r="A57" s="13">
        <v>65</v>
      </c>
      <c r="B57" s="4" t="s">
        <v>113</v>
      </c>
      <c r="C57" s="4" t="s">
        <v>114</v>
      </c>
      <c r="D57" s="41" t="s">
        <v>19</v>
      </c>
      <c r="E57" s="157" t="s">
        <v>32</v>
      </c>
      <c r="F57" s="158" t="s">
        <v>34</v>
      </c>
      <c r="G57" s="159" t="s">
        <v>32</v>
      </c>
      <c r="H57" s="158" t="s">
        <v>32</v>
      </c>
      <c r="I57" s="159" t="s">
        <v>32</v>
      </c>
      <c r="J57" s="158" t="s">
        <v>34</v>
      </c>
      <c r="K57" s="159" t="s">
        <v>35</v>
      </c>
      <c r="L57" s="158" t="s">
        <v>34</v>
      </c>
      <c r="M57" s="159" t="s">
        <v>235</v>
      </c>
      <c r="N57" s="158" t="s">
        <v>34</v>
      </c>
      <c r="O57" s="159" t="s">
        <v>32</v>
      </c>
      <c r="P57" s="158" t="s">
        <v>32</v>
      </c>
      <c r="Q57" s="159" t="s">
        <v>32</v>
      </c>
      <c r="R57" s="158" t="s">
        <v>32</v>
      </c>
      <c r="S57" s="160" t="s">
        <v>34</v>
      </c>
      <c r="T57" s="158" t="s">
        <v>32</v>
      </c>
      <c r="U57" s="160" t="s">
        <v>34</v>
      </c>
      <c r="V57" s="161" t="s">
        <v>34</v>
      </c>
      <c r="W57" s="158" t="s">
        <v>32</v>
      </c>
      <c r="X57" s="161" t="s">
        <v>34</v>
      </c>
      <c r="Y57" s="165" t="s">
        <v>34</v>
      </c>
    </row>
    <row r="58" spans="1:25" ht="20.100000000000001" customHeight="1" x14ac:dyDescent="0.4">
      <c r="A58" s="17">
        <v>74</v>
      </c>
      <c r="B58" s="18" t="s">
        <v>72</v>
      </c>
      <c r="C58" s="18" t="s">
        <v>73</v>
      </c>
      <c r="D58" s="42" t="s">
        <v>19</v>
      </c>
      <c r="E58" s="166" t="s">
        <v>32</v>
      </c>
      <c r="F58" s="167" t="s">
        <v>34</v>
      </c>
      <c r="G58" s="168" t="s">
        <v>32</v>
      </c>
      <c r="H58" s="167" t="s">
        <v>32</v>
      </c>
      <c r="I58" s="168" t="s">
        <v>32</v>
      </c>
      <c r="J58" s="167" t="s">
        <v>34</v>
      </c>
      <c r="K58" s="168" t="s">
        <v>34</v>
      </c>
      <c r="L58" s="167" t="s">
        <v>34</v>
      </c>
      <c r="M58" s="168" t="s">
        <v>32</v>
      </c>
      <c r="N58" s="167" t="s">
        <v>34</v>
      </c>
      <c r="O58" s="168" t="s">
        <v>34</v>
      </c>
      <c r="P58" s="167" t="s">
        <v>32</v>
      </c>
      <c r="Q58" s="168" t="s">
        <v>32</v>
      </c>
      <c r="R58" s="167" t="s">
        <v>32</v>
      </c>
      <c r="S58" s="169" t="s">
        <v>32</v>
      </c>
      <c r="T58" s="167" t="s">
        <v>34</v>
      </c>
      <c r="U58" s="169" t="s">
        <v>34</v>
      </c>
      <c r="V58" s="170" t="s">
        <v>32</v>
      </c>
      <c r="W58" s="167" t="s">
        <v>34</v>
      </c>
      <c r="X58" s="170" t="s">
        <v>34</v>
      </c>
      <c r="Y58" s="171" t="s">
        <v>34</v>
      </c>
    </row>
    <row r="59" spans="1:25" ht="20.100000000000001" customHeight="1" x14ac:dyDescent="0.4">
      <c r="A59" s="12">
        <v>82</v>
      </c>
      <c r="B59" s="2" t="s">
        <v>76</v>
      </c>
      <c r="C59" s="2" t="s">
        <v>77</v>
      </c>
      <c r="D59" s="39" t="s">
        <v>19</v>
      </c>
      <c r="E59" s="152" t="s">
        <v>32</v>
      </c>
      <c r="F59" s="153" t="s">
        <v>34</v>
      </c>
      <c r="G59" s="154" t="s">
        <v>34</v>
      </c>
      <c r="H59" s="153" t="s">
        <v>34</v>
      </c>
      <c r="I59" s="154" t="s">
        <v>32</v>
      </c>
      <c r="J59" s="153" t="s">
        <v>34</v>
      </c>
      <c r="K59" s="154" t="s">
        <v>32</v>
      </c>
      <c r="L59" s="153" t="s">
        <v>34</v>
      </c>
      <c r="M59" s="154" t="s">
        <v>32</v>
      </c>
      <c r="N59" s="153" t="s">
        <v>34</v>
      </c>
      <c r="O59" s="154" t="s">
        <v>32</v>
      </c>
      <c r="P59" s="153" t="s">
        <v>32</v>
      </c>
      <c r="Q59" s="154" t="s">
        <v>32</v>
      </c>
      <c r="R59" s="153" t="s">
        <v>32</v>
      </c>
      <c r="S59" s="155" t="s">
        <v>32</v>
      </c>
      <c r="T59" s="153" t="s">
        <v>34</v>
      </c>
      <c r="U59" s="155" t="s">
        <v>32</v>
      </c>
      <c r="V59" s="156" t="s">
        <v>32</v>
      </c>
      <c r="W59" s="153" t="s">
        <v>34</v>
      </c>
      <c r="X59" s="156" t="s">
        <v>32</v>
      </c>
      <c r="Y59" s="164" t="s">
        <v>34</v>
      </c>
    </row>
    <row r="60" spans="1:25" ht="20.100000000000001" customHeight="1" x14ac:dyDescent="0.4">
      <c r="A60" s="9">
        <v>94</v>
      </c>
      <c r="B60" s="3" t="s">
        <v>78</v>
      </c>
      <c r="C60" s="3" t="s">
        <v>79</v>
      </c>
      <c r="D60" s="40" t="s">
        <v>19</v>
      </c>
      <c r="E60" s="134" t="s">
        <v>32</v>
      </c>
      <c r="F60" s="31" t="s">
        <v>34</v>
      </c>
      <c r="G60" s="129" t="s">
        <v>33</v>
      </c>
      <c r="H60" s="31" t="s">
        <v>32</v>
      </c>
      <c r="I60" s="129" t="s">
        <v>32</v>
      </c>
      <c r="J60" s="31" t="s">
        <v>33</v>
      </c>
      <c r="K60" s="129" t="s">
        <v>32</v>
      </c>
      <c r="L60" s="31" t="s">
        <v>33</v>
      </c>
      <c r="M60" s="129" t="s">
        <v>32</v>
      </c>
      <c r="N60" s="31" t="s">
        <v>34</v>
      </c>
      <c r="O60" s="129" t="s">
        <v>32</v>
      </c>
      <c r="P60" s="31" t="s">
        <v>32</v>
      </c>
      <c r="Q60" s="129" t="s">
        <v>32</v>
      </c>
      <c r="R60" s="31" t="s">
        <v>32</v>
      </c>
      <c r="S60" s="32" t="s">
        <v>32</v>
      </c>
      <c r="T60" s="31" t="s">
        <v>34</v>
      </c>
      <c r="U60" s="32" t="s">
        <v>32</v>
      </c>
      <c r="V60" s="33" t="s">
        <v>32</v>
      </c>
      <c r="W60" s="31" t="s">
        <v>34</v>
      </c>
      <c r="X60" s="33" t="s">
        <v>32</v>
      </c>
      <c r="Y60" s="35" t="s">
        <v>34</v>
      </c>
    </row>
    <row r="61" spans="1:25" ht="20.100000000000001" customHeight="1" x14ac:dyDescent="0.4">
      <c r="A61" s="9">
        <v>11</v>
      </c>
      <c r="B61" s="3" t="s">
        <v>100</v>
      </c>
      <c r="C61" s="3" t="s">
        <v>101</v>
      </c>
      <c r="D61" s="40" t="s">
        <v>102</v>
      </c>
      <c r="E61" s="134" t="s">
        <v>32</v>
      </c>
      <c r="F61" s="31" t="s">
        <v>32</v>
      </c>
      <c r="G61" s="129" t="s">
        <v>32</v>
      </c>
      <c r="H61" s="31" t="s">
        <v>32</v>
      </c>
      <c r="I61" s="129" t="s">
        <v>32</v>
      </c>
      <c r="J61" s="31" t="s">
        <v>34</v>
      </c>
      <c r="K61" s="129" t="s">
        <v>34</v>
      </c>
      <c r="L61" s="31" t="s">
        <v>35</v>
      </c>
      <c r="M61" s="129" t="s">
        <v>32</v>
      </c>
      <c r="N61" s="31" t="s">
        <v>34</v>
      </c>
      <c r="O61" s="129" t="s">
        <v>32</v>
      </c>
      <c r="P61" s="31" t="s">
        <v>32</v>
      </c>
      <c r="Q61" s="129" t="s">
        <v>34</v>
      </c>
      <c r="R61" s="31" t="s">
        <v>32</v>
      </c>
      <c r="S61" s="32" t="s">
        <v>32</v>
      </c>
      <c r="T61" s="31" t="s">
        <v>32</v>
      </c>
      <c r="U61" s="32" t="s">
        <v>34</v>
      </c>
      <c r="V61" s="33" t="s">
        <v>32</v>
      </c>
      <c r="W61" s="31" t="s">
        <v>32</v>
      </c>
      <c r="X61" s="33" t="s">
        <v>34</v>
      </c>
      <c r="Y61" s="35" t="s">
        <v>34</v>
      </c>
    </row>
    <row r="62" spans="1:25" ht="20.100000000000001" customHeight="1" x14ac:dyDescent="0.4">
      <c r="A62" s="13">
        <v>15</v>
      </c>
      <c r="B62" s="4" t="s">
        <v>62</v>
      </c>
      <c r="C62" s="4" t="s">
        <v>63</v>
      </c>
      <c r="D62" s="41" t="s">
        <v>102</v>
      </c>
      <c r="E62" s="157" t="s">
        <v>32</v>
      </c>
      <c r="F62" s="158" t="s">
        <v>32</v>
      </c>
      <c r="G62" s="159" t="s">
        <v>34</v>
      </c>
      <c r="H62" s="158" t="s">
        <v>34</v>
      </c>
      <c r="I62" s="159" t="s">
        <v>32</v>
      </c>
      <c r="J62" s="158" t="s">
        <v>34</v>
      </c>
      <c r="K62" s="159" t="s">
        <v>35</v>
      </c>
      <c r="L62" s="158" t="s">
        <v>34</v>
      </c>
      <c r="M62" s="159" t="s">
        <v>32</v>
      </c>
      <c r="N62" s="158" t="s">
        <v>34</v>
      </c>
      <c r="O62" s="159" t="s">
        <v>32</v>
      </c>
      <c r="P62" s="158" t="s">
        <v>32</v>
      </c>
      <c r="Q62" s="159" t="s">
        <v>34</v>
      </c>
      <c r="R62" s="158" t="s">
        <v>32</v>
      </c>
      <c r="S62" s="160" t="s">
        <v>32</v>
      </c>
      <c r="T62" s="158" t="s">
        <v>32</v>
      </c>
      <c r="U62" s="160" t="s">
        <v>34</v>
      </c>
      <c r="V62" s="161" t="s">
        <v>32</v>
      </c>
      <c r="W62" s="158" t="s">
        <v>32</v>
      </c>
      <c r="X62" s="161" t="s">
        <v>34</v>
      </c>
      <c r="Y62" s="165" t="s">
        <v>34</v>
      </c>
    </row>
    <row r="63" spans="1:25" ht="20.100000000000001" customHeight="1" x14ac:dyDescent="0.4">
      <c r="A63" s="17">
        <v>95</v>
      </c>
      <c r="B63" s="18" t="s">
        <v>84</v>
      </c>
      <c r="C63" s="18" t="s">
        <v>85</v>
      </c>
      <c r="D63" s="42" t="s">
        <v>102</v>
      </c>
      <c r="E63" s="166" t="s">
        <v>32</v>
      </c>
      <c r="F63" s="167" t="s">
        <v>32</v>
      </c>
      <c r="G63" s="168" t="s">
        <v>32</v>
      </c>
      <c r="H63" s="167" t="s">
        <v>32</v>
      </c>
      <c r="I63" s="168" t="s">
        <v>32</v>
      </c>
      <c r="J63" s="167" t="s">
        <v>34</v>
      </c>
      <c r="K63" s="168" t="s">
        <v>34</v>
      </c>
      <c r="L63" s="167" t="s">
        <v>34</v>
      </c>
      <c r="M63" s="168" t="s">
        <v>32</v>
      </c>
      <c r="N63" s="167" t="s">
        <v>34</v>
      </c>
      <c r="O63" s="168" t="s">
        <v>34</v>
      </c>
      <c r="P63" s="167" t="s">
        <v>32</v>
      </c>
      <c r="Q63" s="168" t="s">
        <v>32</v>
      </c>
      <c r="R63" s="167" t="s">
        <v>32</v>
      </c>
      <c r="S63" s="169" t="s">
        <v>32</v>
      </c>
      <c r="T63" s="167" t="s">
        <v>32</v>
      </c>
      <c r="U63" s="169" t="s">
        <v>34</v>
      </c>
      <c r="V63" s="170" t="s">
        <v>32</v>
      </c>
      <c r="W63" s="167" t="s">
        <v>32</v>
      </c>
      <c r="X63" s="170" t="s">
        <v>34</v>
      </c>
      <c r="Y63" s="171" t="s">
        <v>34</v>
      </c>
    </row>
    <row r="64" spans="1:25" ht="20.100000000000001" customHeight="1" x14ac:dyDescent="0.4">
      <c r="A64" s="12">
        <v>24</v>
      </c>
      <c r="B64" s="2" t="s">
        <v>107</v>
      </c>
      <c r="C64" s="2" t="s">
        <v>108</v>
      </c>
      <c r="D64" s="39" t="s">
        <v>102</v>
      </c>
      <c r="E64" s="152" t="s">
        <v>32</v>
      </c>
      <c r="F64" s="153" t="s">
        <v>32</v>
      </c>
      <c r="G64" s="154" t="s">
        <v>32</v>
      </c>
      <c r="H64" s="153" t="s">
        <v>32</v>
      </c>
      <c r="I64" s="154" t="s">
        <v>32</v>
      </c>
      <c r="J64" s="153" t="s">
        <v>35</v>
      </c>
      <c r="K64" s="154" t="s">
        <v>34</v>
      </c>
      <c r="L64" s="153" t="s">
        <v>34</v>
      </c>
      <c r="M64" s="154" t="s">
        <v>32</v>
      </c>
      <c r="N64" s="153" t="s">
        <v>34</v>
      </c>
      <c r="O64" s="154" t="s">
        <v>34</v>
      </c>
      <c r="P64" s="153" t="s">
        <v>33</v>
      </c>
      <c r="Q64" s="154" t="s">
        <v>32</v>
      </c>
      <c r="R64" s="153" t="s">
        <v>32</v>
      </c>
      <c r="S64" s="155" t="s">
        <v>32</v>
      </c>
      <c r="T64" s="153" t="s">
        <v>32</v>
      </c>
      <c r="U64" s="155" t="s">
        <v>32</v>
      </c>
      <c r="V64" s="156" t="s">
        <v>32</v>
      </c>
      <c r="W64" s="153" t="s">
        <v>32</v>
      </c>
      <c r="X64" s="156" t="s">
        <v>32</v>
      </c>
      <c r="Y64" s="164" t="s">
        <v>32</v>
      </c>
    </row>
    <row r="65" spans="1:25" ht="20.100000000000001" customHeight="1" x14ac:dyDescent="0.4">
      <c r="A65" s="9">
        <v>49</v>
      </c>
      <c r="B65" s="3" t="s">
        <v>111</v>
      </c>
      <c r="C65" s="3" t="s">
        <v>112</v>
      </c>
      <c r="D65" s="40" t="s">
        <v>102</v>
      </c>
      <c r="E65" s="134" t="s">
        <v>32</v>
      </c>
      <c r="F65" s="31" t="s">
        <v>32</v>
      </c>
      <c r="G65" s="129" t="s">
        <v>32</v>
      </c>
      <c r="H65" s="31" t="s">
        <v>32</v>
      </c>
      <c r="I65" s="129" t="s">
        <v>32</v>
      </c>
      <c r="J65" s="31" t="s">
        <v>34</v>
      </c>
      <c r="K65" s="129" t="s">
        <v>34</v>
      </c>
      <c r="L65" s="31" t="s">
        <v>34</v>
      </c>
      <c r="M65" s="129" t="s">
        <v>235</v>
      </c>
      <c r="N65" s="31" t="s">
        <v>34</v>
      </c>
      <c r="O65" s="129" t="s">
        <v>32</v>
      </c>
      <c r="P65" s="31" t="s">
        <v>32</v>
      </c>
      <c r="Q65" s="129" t="s">
        <v>32</v>
      </c>
      <c r="R65" s="31" t="s">
        <v>32</v>
      </c>
      <c r="S65" s="32" t="s">
        <v>34</v>
      </c>
      <c r="T65" s="31" t="s">
        <v>32</v>
      </c>
      <c r="U65" s="32" t="s">
        <v>34</v>
      </c>
      <c r="V65" s="33" t="s">
        <v>34</v>
      </c>
      <c r="W65" s="31" t="s">
        <v>32</v>
      </c>
      <c r="X65" s="33" t="s">
        <v>34</v>
      </c>
      <c r="Y65" s="35" t="s">
        <v>34</v>
      </c>
    </row>
    <row r="66" spans="1:25" ht="20.100000000000001" customHeight="1" x14ac:dyDescent="0.4">
      <c r="A66" s="9">
        <v>64</v>
      </c>
      <c r="B66" s="3" t="s">
        <v>176</v>
      </c>
      <c r="C66" s="3" t="s">
        <v>177</v>
      </c>
      <c r="D66" s="40" t="s">
        <v>102</v>
      </c>
      <c r="E66" s="134" t="s">
        <v>32</v>
      </c>
      <c r="F66" s="31" t="s">
        <v>34</v>
      </c>
      <c r="G66" s="129" t="s">
        <v>32</v>
      </c>
      <c r="H66" s="31" t="s">
        <v>32</v>
      </c>
      <c r="I66" s="129" t="s">
        <v>32</v>
      </c>
      <c r="J66" s="31" t="s">
        <v>34</v>
      </c>
      <c r="K66" s="129" t="s">
        <v>32</v>
      </c>
      <c r="L66" s="31" t="s">
        <v>34</v>
      </c>
      <c r="M66" s="129" t="s">
        <v>235</v>
      </c>
      <c r="N66" s="31" t="s">
        <v>34</v>
      </c>
      <c r="O66" s="129" t="s">
        <v>34</v>
      </c>
      <c r="P66" s="31" t="s">
        <v>32</v>
      </c>
      <c r="Q66" s="129" t="s">
        <v>32</v>
      </c>
      <c r="R66" s="31" t="s">
        <v>32</v>
      </c>
      <c r="S66" s="32" t="s">
        <v>32</v>
      </c>
      <c r="T66" s="31" t="s">
        <v>34</v>
      </c>
      <c r="U66" s="32" t="s">
        <v>32</v>
      </c>
      <c r="V66" s="33" t="s">
        <v>32</v>
      </c>
      <c r="W66" s="31" t="s">
        <v>34</v>
      </c>
      <c r="X66" s="33" t="s">
        <v>32</v>
      </c>
      <c r="Y66" s="35" t="s">
        <v>34</v>
      </c>
    </row>
    <row r="67" spans="1:25" ht="20.100000000000001" customHeight="1" x14ac:dyDescent="0.4">
      <c r="A67" s="13">
        <v>87</v>
      </c>
      <c r="B67" s="4" t="s">
        <v>98</v>
      </c>
      <c r="C67" s="4" t="s">
        <v>99</v>
      </c>
      <c r="D67" s="41" t="s">
        <v>102</v>
      </c>
      <c r="E67" s="157" t="s">
        <v>32</v>
      </c>
      <c r="F67" s="158" t="s">
        <v>32</v>
      </c>
      <c r="G67" s="159" t="s">
        <v>32</v>
      </c>
      <c r="H67" s="158" t="s">
        <v>32</v>
      </c>
      <c r="I67" s="159" t="s">
        <v>32</v>
      </c>
      <c r="J67" s="158" t="s">
        <v>34</v>
      </c>
      <c r="K67" s="159" t="s">
        <v>34</v>
      </c>
      <c r="L67" s="158" t="s">
        <v>34</v>
      </c>
      <c r="M67" s="159" t="s">
        <v>32</v>
      </c>
      <c r="N67" s="158" t="s">
        <v>34</v>
      </c>
      <c r="O67" s="159" t="s">
        <v>32</v>
      </c>
      <c r="P67" s="158" t="s">
        <v>32</v>
      </c>
      <c r="Q67" s="159" t="s">
        <v>32</v>
      </c>
      <c r="R67" s="158" t="s">
        <v>32</v>
      </c>
      <c r="S67" s="160" t="s">
        <v>32</v>
      </c>
      <c r="T67" s="158" t="s">
        <v>32</v>
      </c>
      <c r="U67" s="160" t="s">
        <v>34</v>
      </c>
      <c r="V67" s="161" t="s">
        <v>32</v>
      </c>
      <c r="W67" s="158" t="s">
        <v>32</v>
      </c>
      <c r="X67" s="161" t="s">
        <v>34</v>
      </c>
      <c r="Y67" s="165" t="s">
        <v>34</v>
      </c>
    </row>
    <row r="68" spans="1:25" ht="20.100000000000001" customHeight="1" x14ac:dyDescent="0.4">
      <c r="A68" s="17">
        <v>7</v>
      </c>
      <c r="B68" s="18" t="s">
        <v>126</v>
      </c>
      <c r="C68" s="18" t="s">
        <v>127</v>
      </c>
      <c r="D68" s="42" t="s">
        <v>205</v>
      </c>
      <c r="E68" s="166" t="s">
        <v>32</v>
      </c>
      <c r="F68" s="167" t="s">
        <v>32</v>
      </c>
      <c r="G68" s="168" t="s">
        <v>33</v>
      </c>
      <c r="H68" s="167" t="s">
        <v>32</v>
      </c>
      <c r="I68" s="168" t="s">
        <v>32</v>
      </c>
      <c r="J68" s="167" t="s">
        <v>32</v>
      </c>
      <c r="K68" s="168" t="s">
        <v>32</v>
      </c>
      <c r="L68" s="167" t="s">
        <v>34</v>
      </c>
      <c r="M68" s="168" t="s">
        <v>35</v>
      </c>
      <c r="N68" s="167" t="s">
        <v>34</v>
      </c>
      <c r="O68" s="168" t="s">
        <v>32</v>
      </c>
      <c r="P68" s="167" t="s">
        <v>32</v>
      </c>
      <c r="Q68" s="168" t="s">
        <v>32</v>
      </c>
      <c r="R68" s="167" t="s">
        <v>34</v>
      </c>
      <c r="S68" s="169" t="s">
        <v>32</v>
      </c>
      <c r="T68" s="167" t="s">
        <v>32</v>
      </c>
      <c r="U68" s="169" t="s">
        <v>32</v>
      </c>
      <c r="V68" s="170" t="s">
        <v>32</v>
      </c>
      <c r="W68" s="167" t="s">
        <v>32</v>
      </c>
      <c r="X68" s="170" t="s">
        <v>32</v>
      </c>
      <c r="Y68" s="171" t="s">
        <v>32</v>
      </c>
    </row>
    <row r="69" spans="1:25" ht="20.100000000000001" customHeight="1" x14ac:dyDescent="0.4">
      <c r="A69" s="12">
        <v>26</v>
      </c>
      <c r="B69" s="2" t="s">
        <v>144</v>
      </c>
      <c r="C69" s="2" t="s">
        <v>145</v>
      </c>
      <c r="D69" s="39" t="s">
        <v>205</v>
      </c>
      <c r="E69" s="152" t="s">
        <v>32</v>
      </c>
      <c r="F69" s="153" t="s">
        <v>32</v>
      </c>
      <c r="G69" s="154" t="s">
        <v>32</v>
      </c>
      <c r="H69" s="153" t="s">
        <v>34</v>
      </c>
      <c r="I69" s="154" t="s">
        <v>32</v>
      </c>
      <c r="J69" s="153" t="s">
        <v>34</v>
      </c>
      <c r="K69" s="154" t="s">
        <v>32</v>
      </c>
      <c r="L69" s="153" t="s">
        <v>34</v>
      </c>
      <c r="M69" s="154" t="s">
        <v>35</v>
      </c>
      <c r="N69" s="153" t="s">
        <v>34</v>
      </c>
      <c r="O69" s="154" t="s">
        <v>32</v>
      </c>
      <c r="P69" s="153" t="s">
        <v>32</v>
      </c>
      <c r="Q69" s="154" t="s">
        <v>32</v>
      </c>
      <c r="R69" s="153" t="s">
        <v>34</v>
      </c>
      <c r="S69" s="155" t="s">
        <v>34</v>
      </c>
      <c r="T69" s="153" t="s">
        <v>32</v>
      </c>
      <c r="U69" s="155" t="s">
        <v>32</v>
      </c>
      <c r="V69" s="156" t="s">
        <v>34</v>
      </c>
      <c r="W69" s="153" t="s">
        <v>32</v>
      </c>
      <c r="X69" s="156" t="s">
        <v>32</v>
      </c>
      <c r="Y69" s="164" t="s">
        <v>34</v>
      </c>
    </row>
    <row r="70" spans="1:25" ht="20.100000000000001" customHeight="1" x14ac:dyDescent="0.4">
      <c r="A70" s="9">
        <v>37</v>
      </c>
      <c r="B70" s="3" t="s">
        <v>152</v>
      </c>
      <c r="C70" s="3" t="s">
        <v>153</v>
      </c>
      <c r="D70" s="40" t="s">
        <v>205</v>
      </c>
      <c r="E70" s="134" t="s">
        <v>32</v>
      </c>
      <c r="F70" s="31" t="s">
        <v>34</v>
      </c>
      <c r="G70" s="129" t="s">
        <v>34</v>
      </c>
      <c r="H70" s="31" t="s">
        <v>33</v>
      </c>
      <c r="I70" s="129" t="s">
        <v>32</v>
      </c>
      <c r="J70" s="31" t="s">
        <v>33</v>
      </c>
      <c r="K70" s="129" t="s">
        <v>32</v>
      </c>
      <c r="L70" s="31" t="s">
        <v>34</v>
      </c>
      <c r="M70" s="129" t="s">
        <v>35</v>
      </c>
      <c r="N70" s="31" t="s">
        <v>34</v>
      </c>
      <c r="O70" s="129" t="s">
        <v>32</v>
      </c>
      <c r="P70" s="31" t="s">
        <v>32</v>
      </c>
      <c r="Q70" s="129" t="s">
        <v>32</v>
      </c>
      <c r="R70" s="31" t="s">
        <v>32</v>
      </c>
      <c r="S70" s="32" t="s">
        <v>34</v>
      </c>
      <c r="T70" s="31" t="s">
        <v>34</v>
      </c>
      <c r="U70" s="32" t="s">
        <v>32</v>
      </c>
      <c r="V70" s="33" t="s">
        <v>34</v>
      </c>
      <c r="W70" s="31" t="s">
        <v>34</v>
      </c>
      <c r="X70" s="33" t="s">
        <v>32</v>
      </c>
      <c r="Y70" s="35" t="s">
        <v>34</v>
      </c>
    </row>
    <row r="71" spans="1:25" ht="20.100000000000001" customHeight="1" x14ac:dyDescent="0.4">
      <c r="A71" s="9">
        <v>44</v>
      </c>
      <c r="B71" s="3" t="s">
        <v>162</v>
      </c>
      <c r="C71" s="3" t="s">
        <v>163</v>
      </c>
      <c r="D71" s="40" t="s">
        <v>205</v>
      </c>
      <c r="E71" s="134" t="s">
        <v>32</v>
      </c>
      <c r="F71" s="31" t="s">
        <v>32</v>
      </c>
      <c r="G71" s="129" t="s">
        <v>32</v>
      </c>
      <c r="H71" s="31" t="s">
        <v>34</v>
      </c>
      <c r="I71" s="129" t="s">
        <v>32</v>
      </c>
      <c r="J71" s="31" t="s">
        <v>32</v>
      </c>
      <c r="K71" s="129" t="s">
        <v>32</v>
      </c>
      <c r="L71" s="31" t="s">
        <v>33</v>
      </c>
      <c r="M71" s="129" t="s">
        <v>35</v>
      </c>
      <c r="N71" s="31" t="s">
        <v>32</v>
      </c>
      <c r="O71" s="129" t="s">
        <v>32</v>
      </c>
      <c r="P71" s="31" t="s">
        <v>32</v>
      </c>
      <c r="Q71" s="129" t="s">
        <v>32</v>
      </c>
      <c r="R71" s="31" t="s">
        <v>32</v>
      </c>
      <c r="S71" s="32" t="s">
        <v>34</v>
      </c>
      <c r="T71" s="31" t="s">
        <v>32</v>
      </c>
      <c r="U71" s="32" t="s">
        <v>32</v>
      </c>
      <c r="V71" s="33" t="s">
        <v>34</v>
      </c>
      <c r="W71" s="31" t="s">
        <v>32</v>
      </c>
      <c r="X71" s="33" t="s">
        <v>32</v>
      </c>
      <c r="Y71" s="35" t="s">
        <v>34</v>
      </c>
    </row>
    <row r="72" spans="1:25" ht="20.100000000000001" customHeight="1" x14ac:dyDescent="0.4">
      <c r="A72" s="13">
        <v>53</v>
      </c>
      <c r="B72" s="4" t="s">
        <v>170</v>
      </c>
      <c r="C72" s="4" t="s">
        <v>171</v>
      </c>
      <c r="D72" s="41" t="s">
        <v>205</v>
      </c>
      <c r="E72" s="157" t="s">
        <v>32</v>
      </c>
      <c r="F72" s="158" t="s">
        <v>35</v>
      </c>
      <c r="G72" s="159" t="s">
        <v>34</v>
      </c>
      <c r="H72" s="158" t="s">
        <v>32</v>
      </c>
      <c r="I72" s="159" t="s">
        <v>32</v>
      </c>
      <c r="J72" s="158" t="s">
        <v>34</v>
      </c>
      <c r="K72" s="159" t="s">
        <v>33</v>
      </c>
      <c r="L72" s="158" t="s">
        <v>34</v>
      </c>
      <c r="M72" s="159" t="s">
        <v>32</v>
      </c>
      <c r="N72" s="158" t="s">
        <v>34</v>
      </c>
      <c r="O72" s="159" t="s">
        <v>32</v>
      </c>
      <c r="P72" s="158" t="s">
        <v>32</v>
      </c>
      <c r="Q72" s="159" t="s">
        <v>32</v>
      </c>
      <c r="R72" s="158" t="s">
        <v>32</v>
      </c>
      <c r="S72" s="160" t="s">
        <v>32</v>
      </c>
      <c r="T72" s="158" t="s">
        <v>34</v>
      </c>
      <c r="U72" s="160" t="s">
        <v>34</v>
      </c>
      <c r="V72" s="161" t="s">
        <v>32</v>
      </c>
      <c r="W72" s="158" t="s">
        <v>34</v>
      </c>
      <c r="X72" s="161" t="s">
        <v>34</v>
      </c>
      <c r="Y72" s="165" t="s">
        <v>34</v>
      </c>
    </row>
    <row r="73" spans="1:25" ht="20.100000000000001" customHeight="1" x14ac:dyDescent="0.4">
      <c r="A73" s="17">
        <v>77</v>
      </c>
      <c r="B73" s="18" t="s">
        <v>186</v>
      </c>
      <c r="C73" s="18" t="s">
        <v>187</v>
      </c>
      <c r="D73" s="42" t="s">
        <v>205</v>
      </c>
      <c r="E73" s="166" t="s">
        <v>32</v>
      </c>
      <c r="F73" s="167" t="s">
        <v>32</v>
      </c>
      <c r="G73" s="168" t="s">
        <v>32</v>
      </c>
      <c r="H73" s="167" t="s">
        <v>32</v>
      </c>
      <c r="I73" s="168" t="s">
        <v>32</v>
      </c>
      <c r="J73" s="167" t="s">
        <v>34</v>
      </c>
      <c r="K73" s="168" t="s">
        <v>34</v>
      </c>
      <c r="L73" s="167" t="s">
        <v>34</v>
      </c>
      <c r="M73" s="168" t="s">
        <v>34</v>
      </c>
      <c r="N73" s="167" t="s">
        <v>34</v>
      </c>
      <c r="O73" s="168" t="s">
        <v>34</v>
      </c>
      <c r="P73" s="167" t="s">
        <v>32</v>
      </c>
      <c r="Q73" s="168" t="s">
        <v>32</v>
      </c>
      <c r="R73" s="167" t="s">
        <v>32</v>
      </c>
      <c r="S73" s="169" t="s">
        <v>34</v>
      </c>
      <c r="T73" s="167" t="s">
        <v>32</v>
      </c>
      <c r="U73" s="169" t="s">
        <v>32</v>
      </c>
      <c r="V73" s="170" t="s">
        <v>34</v>
      </c>
      <c r="W73" s="167" t="s">
        <v>32</v>
      </c>
      <c r="X73" s="170" t="s">
        <v>34</v>
      </c>
      <c r="Y73" s="171" t="s">
        <v>34</v>
      </c>
    </row>
    <row r="74" spans="1:25" ht="20.100000000000001" customHeight="1" x14ac:dyDescent="0.4">
      <c r="A74" s="12">
        <v>84</v>
      </c>
      <c r="B74" s="2" t="s">
        <v>190</v>
      </c>
      <c r="C74" s="2" t="s">
        <v>191</v>
      </c>
      <c r="D74" s="39" t="s">
        <v>205</v>
      </c>
      <c r="E74" s="152" t="s">
        <v>32</v>
      </c>
      <c r="F74" s="153" t="s">
        <v>32</v>
      </c>
      <c r="G74" s="154" t="s">
        <v>32</v>
      </c>
      <c r="H74" s="153" t="s">
        <v>32</v>
      </c>
      <c r="I74" s="154" t="s">
        <v>32</v>
      </c>
      <c r="J74" s="153" t="s">
        <v>34</v>
      </c>
      <c r="K74" s="154" t="s">
        <v>34</v>
      </c>
      <c r="L74" s="153" t="s">
        <v>34</v>
      </c>
      <c r="M74" s="154" t="s">
        <v>34</v>
      </c>
      <c r="N74" s="153" t="s">
        <v>34</v>
      </c>
      <c r="O74" s="154" t="s">
        <v>32</v>
      </c>
      <c r="P74" s="153" t="s">
        <v>32</v>
      </c>
      <c r="Q74" s="154" t="s">
        <v>32</v>
      </c>
      <c r="R74" s="153" t="s">
        <v>32</v>
      </c>
      <c r="S74" s="155" t="s">
        <v>34</v>
      </c>
      <c r="T74" s="153" t="s">
        <v>32</v>
      </c>
      <c r="U74" s="155" t="s">
        <v>34</v>
      </c>
      <c r="V74" s="156" t="s">
        <v>34</v>
      </c>
      <c r="W74" s="153" t="s">
        <v>32</v>
      </c>
      <c r="X74" s="156" t="s">
        <v>34</v>
      </c>
      <c r="Y74" s="164" t="s">
        <v>34</v>
      </c>
    </row>
    <row r="75" spans="1:25" ht="20.100000000000001" customHeight="1" x14ac:dyDescent="0.4">
      <c r="A75" s="9">
        <v>5</v>
      </c>
      <c r="B75" s="3" t="s">
        <v>123</v>
      </c>
      <c r="C75" s="3" t="s">
        <v>124</v>
      </c>
      <c r="D75" s="40" t="s">
        <v>119</v>
      </c>
      <c r="E75" s="134" t="s">
        <v>34</v>
      </c>
      <c r="F75" s="31" t="s">
        <v>32</v>
      </c>
      <c r="G75" s="129" t="s">
        <v>32</v>
      </c>
      <c r="H75" s="31" t="s">
        <v>33</v>
      </c>
      <c r="I75" s="129" t="s">
        <v>32</v>
      </c>
      <c r="J75" s="31" t="s">
        <v>33</v>
      </c>
      <c r="K75" s="129" t="s">
        <v>32</v>
      </c>
      <c r="L75" s="31" t="s">
        <v>34</v>
      </c>
      <c r="M75" s="129" t="s">
        <v>32</v>
      </c>
      <c r="N75" s="31" t="s">
        <v>34</v>
      </c>
      <c r="O75" s="129" t="s">
        <v>32</v>
      </c>
      <c r="P75" s="31" t="s">
        <v>32</v>
      </c>
      <c r="Q75" s="129" t="s">
        <v>32</v>
      </c>
      <c r="R75" s="31" t="s">
        <v>32</v>
      </c>
      <c r="S75" s="32" t="s">
        <v>32</v>
      </c>
      <c r="T75" s="31" t="s">
        <v>32</v>
      </c>
      <c r="U75" s="32" t="s">
        <v>32</v>
      </c>
      <c r="V75" s="33" t="s">
        <v>32</v>
      </c>
      <c r="W75" s="31" t="s">
        <v>32</v>
      </c>
      <c r="X75" s="33" t="s">
        <v>32</v>
      </c>
      <c r="Y75" s="35" t="s">
        <v>32</v>
      </c>
    </row>
    <row r="76" spans="1:25" ht="20.100000000000001" customHeight="1" x14ac:dyDescent="0.4">
      <c r="A76" s="9">
        <v>71</v>
      </c>
      <c r="B76" s="3" t="s">
        <v>194</v>
      </c>
      <c r="C76" s="3" t="s">
        <v>195</v>
      </c>
      <c r="D76" s="40" t="s">
        <v>207</v>
      </c>
      <c r="E76" s="134" t="s">
        <v>32</v>
      </c>
      <c r="F76" s="31" t="s">
        <v>32</v>
      </c>
      <c r="G76" s="129" t="s">
        <v>32</v>
      </c>
      <c r="H76" s="31" t="s">
        <v>32</v>
      </c>
      <c r="I76" s="129" t="s">
        <v>32</v>
      </c>
      <c r="J76" s="31" t="s">
        <v>32</v>
      </c>
      <c r="K76" s="129" t="s">
        <v>32</v>
      </c>
      <c r="L76" s="31" t="s">
        <v>32</v>
      </c>
      <c r="M76" s="129" t="s">
        <v>32</v>
      </c>
      <c r="N76" s="31" t="s">
        <v>32</v>
      </c>
      <c r="O76" s="129" t="s">
        <v>32</v>
      </c>
      <c r="P76" s="31" t="s">
        <v>32</v>
      </c>
      <c r="Q76" s="129" t="s">
        <v>32</v>
      </c>
      <c r="R76" s="31" t="s">
        <v>32</v>
      </c>
      <c r="S76" s="32" t="s">
        <v>32</v>
      </c>
      <c r="T76" s="31" t="s">
        <v>32</v>
      </c>
      <c r="U76" s="32" t="s">
        <v>32</v>
      </c>
      <c r="V76" s="33" t="s">
        <v>32</v>
      </c>
      <c r="W76" s="31" t="s">
        <v>32</v>
      </c>
      <c r="X76" s="33" t="s">
        <v>32</v>
      </c>
      <c r="Y76" s="35" t="s">
        <v>32</v>
      </c>
    </row>
    <row r="77" spans="1:25" ht="20.100000000000001" customHeight="1" x14ac:dyDescent="0.4">
      <c r="A77" s="13">
        <v>9</v>
      </c>
      <c r="B77" s="4" t="s">
        <v>128</v>
      </c>
      <c r="C77" s="4" t="s">
        <v>129</v>
      </c>
      <c r="D77" s="41" t="s">
        <v>122</v>
      </c>
      <c r="E77" s="157" t="s">
        <v>32</v>
      </c>
      <c r="F77" s="158" t="s">
        <v>32</v>
      </c>
      <c r="G77" s="159" t="s">
        <v>32</v>
      </c>
      <c r="H77" s="158" t="s">
        <v>32</v>
      </c>
      <c r="I77" s="159" t="s">
        <v>32</v>
      </c>
      <c r="J77" s="158" t="s">
        <v>34</v>
      </c>
      <c r="K77" s="159" t="s">
        <v>32</v>
      </c>
      <c r="L77" s="158" t="s">
        <v>32</v>
      </c>
      <c r="M77" s="159" t="s">
        <v>32</v>
      </c>
      <c r="N77" s="158" t="s">
        <v>32</v>
      </c>
      <c r="O77" s="159" t="s">
        <v>32</v>
      </c>
      <c r="P77" s="158" t="s">
        <v>32</v>
      </c>
      <c r="Q77" s="159" t="s">
        <v>32</v>
      </c>
      <c r="R77" s="158" t="s">
        <v>32</v>
      </c>
      <c r="S77" s="160" t="s">
        <v>32</v>
      </c>
      <c r="T77" s="158" t="s">
        <v>32</v>
      </c>
      <c r="U77" s="160" t="s">
        <v>32</v>
      </c>
      <c r="V77" s="161" t="s">
        <v>32</v>
      </c>
      <c r="W77" s="158" t="s">
        <v>32</v>
      </c>
      <c r="X77" s="161" t="s">
        <v>32</v>
      </c>
      <c r="Y77" s="165" t="s">
        <v>32</v>
      </c>
    </row>
    <row r="78" spans="1:25" ht="20.100000000000001" customHeight="1" x14ac:dyDescent="0.4">
      <c r="A78" s="17">
        <v>16</v>
      </c>
      <c r="B78" s="18" t="s">
        <v>138</v>
      </c>
      <c r="C78" s="18" t="s">
        <v>139</v>
      </c>
      <c r="D78" s="42" t="s">
        <v>122</v>
      </c>
      <c r="E78" s="166" t="s">
        <v>34</v>
      </c>
      <c r="F78" s="167" t="s">
        <v>32</v>
      </c>
      <c r="G78" s="168" t="s">
        <v>32</v>
      </c>
      <c r="H78" s="167" t="s">
        <v>32</v>
      </c>
      <c r="I78" s="168" t="s">
        <v>32</v>
      </c>
      <c r="J78" s="167" t="s">
        <v>34</v>
      </c>
      <c r="K78" s="168" t="s">
        <v>32</v>
      </c>
      <c r="L78" s="167" t="s">
        <v>34</v>
      </c>
      <c r="M78" s="168" t="s">
        <v>32</v>
      </c>
      <c r="N78" s="167" t="s">
        <v>34</v>
      </c>
      <c r="O78" s="168" t="s">
        <v>32</v>
      </c>
      <c r="P78" s="167" t="s">
        <v>32</v>
      </c>
      <c r="Q78" s="168" t="s">
        <v>32</v>
      </c>
      <c r="R78" s="167" t="s">
        <v>32</v>
      </c>
      <c r="S78" s="169" t="s">
        <v>32</v>
      </c>
      <c r="T78" s="167" t="s">
        <v>32</v>
      </c>
      <c r="U78" s="169" t="s">
        <v>32</v>
      </c>
      <c r="V78" s="170" t="s">
        <v>32</v>
      </c>
      <c r="W78" s="167" t="s">
        <v>32</v>
      </c>
      <c r="X78" s="170" t="s">
        <v>32</v>
      </c>
      <c r="Y78" s="171" t="s">
        <v>32</v>
      </c>
    </row>
    <row r="79" spans="1:25" ht="20.100000000000001" customHeight="1" x14ac:dyDescent="0.4">
      <c r="A79" s="12">
        <v>23</v>
      </c>
      <c r="B79" s="2" t="s">
        <v>120</v>
      </c>
      <c r="C79" s="2" t="s">
        <v>121</v>
      </c>
      <c r="D79" s="39" t="s">
        <v>122</v>
      </c>
      <c r="E79" s="152" t="s">
        <v>35</v>
      </c>
      <c r="F79" s="153" t="s">
        <v>32</v>
      </c>
      <c r="G79" s="154" t="s">
        <v>32</v>
      </c>
      <c r="H79" s="153" t="s">
        <v>32</v>
      </c>
      <c r="I79" s="154" t="s">
        <v>32</v>
      </c>
      <c r="J79" s="153" t="s">
        <v>32</v>
      </c>
      <c r="K79" s="154" t="s">
        <v>32</v>
      </c>
      <c r="L79" s="153" t="s">
        <v>32</v>
      </c>
      <c r="M79" s="154" t="s">
        <v>32</v>
      </c>
      <c r="N79" s="153" t="s">
        <v>33</v>
      </c>
      <c r="O79" s="154" t="s">
        <v>32</v>
      </c>
      <c r="P79" s="153" t="s">
        <v>32</v>
      </c>
      <c r="Q79" s="154" t="s">
        <v>32</v>
      </c>
      <c r="R79" s="153" t="s">
        <v>32</v>
      </c>
      <c r="S79" s="155" t="s">
        <v>32</v>
      </c>
      <c r="T79" s="153" t="s">
        <v>32</v>
      </c>
      <c r="U79" s="155" t="s">
        <v>32</v>
      </c>
      <c r="V79" s="156" t="s">
        <v>32</v>
      </c>
      <c r="W79" s="153" t="s">
        <v>32</v>
      </c>
      <c r="X79" s="156" t="s">
        <v>32</v>
      </c>
      <c r="Y79" s="164" t="s">
        <v>32</v>
      </c>
    </row>
    <row r="80" spans="1:25" ht="20.100000000000001" customHeight="1" thickBot="1" x14ac:dyDescent="0.45">
      <c r="A80" s="10">
        <v>91</v>
      </c>
      <c r="B80" s="7" t="s">
        <v>94</v>
      </c>
      <c r="C80" s="7" t="s">
        <v>95</v>
      </c>
      <c r="D80" s="41" t="s">
        <v>122</v>
      </c>
      <c r="E80" s="135" t="s">
        <v>32</v>
      </c>
      <c r="F80" s="96" t="s">
        <v>32</v>
      </c>
      <c r="G80" s="130" t="s">
        <v>32</v>
      </c>
      <c r="H80" s="96" t="s">
        <v>32</v>
      </c>
      <c r="I80" s="130" t="s">
        <v>32</v>
      </c>
      <c r="J80" s="96" t="s">
        <v>34</v>
      </c>
      <c r="K80" s="130" t="s">
        <v>34</v>
      </c>
      <c r="L80" s="96" t="s">
        <v>34</v>
      </c>
      <c r="M80" s="130" t="s">
        <v>32</v>
      </c>
      <c r="N80" s="96" t="s">
        <v>34</v>
      </c>
      <c r="O80" s="130" t="s">
        <v>34</v>
      </c>
      <c r="P80" s="96" t="s">
        <v>32</v>
      </c>
      <c r="Q80" s="130" t="s">
        <v>32</v>
      </c>
      <c r="R80" s="96" t="s">
        <v>32</v>
      </c>
      <c r="S80" s="97" t="s">
        <v>32</v>
      </c>
      <c r="T80" s="96" t="s">
        <v>32</v>
      </c>
      <c r="U80" s="97" t="s">
        <v>34</v>
      </c>
      <c r="V80" s="98" t="s">
        <v>32</v>
      </c>
      <c r="W80" s="96" t="s">
        <v>32</v>
      </c>
      <c r="X80" s="98" t="s">
        <v>34</v>
      </c>
      <c r="Y80" s="99" t="s">
        <v>34</v>
      </c>
    </row>
    <row r="81" spans="4:25" ht="20.100000000000001" customHeight="1" x14ac:dyDescent="0.4">
      <c r="D81" s="36" t="s">
        <v>32</v>
      </c>
      <c r="E81" s="152">
        <f>COUNTIF($E$3:$E$80,"×")</f>
        <v>62</v>
      </c>
      <c r="F81" s="153">
        <f>COUNTIF($F$3:$F$80,"×")</f>
        <v>41</v>
      </c>
      <c r="G81" s="154">
        <f>COUNTIF($G$3:$G$80,"×")</f>
        <v>48</v>
      </c>
      <c r="H81" s="153">
        <f>COUNTIF($H$3:$H$80,"×")</f>
        <v>52</v>
      </c>
      <c r="I81" s="154">
        <f>COUNTIF($I$3:$I$80,"×")</f>
        <v>68</v>
      </c>
      <c r="J81" s="153">
        <f>COUNTIF($J$3:$J$80,"×")</f>
        <v>17</v>
      </c>
      <c r="K81" s="154">
        <f>COUNTIF($K$3:$K$80,"×")</f>
        <v>40</v>
      </c>
      <c r="L81" s="153">
        <f>COUNTIF($L$3:$L$80,"×")</f>
        <v>10</v>
      </c>
      <c r="M81" s="154">
        <f>COUNTIF($M$3:$M$80,"×")</f>
        <v>55</v>
      </c>
      <c r="N81" s="153">
        <f>COUNTIF($N$3:$N$80,"×")</f>
        <v>7</v>
      </c>
      <c r="O81" s="154">
        <f>COUNTIF($O$3:$O$80,"×")</f>
        <v>59</v>
      </c>
      <c r="P81" s="153">
        <f>COUNTIF($P$3:$P$80,"×")</f>
        <v>69</v>
      </c>
      <c r="Q81" s="154">
        <f>COUNTIF($Q$3:$Q$80,"×")</f>
        <v>70</v>
      </c>
      <c r="R81" s="153">
        <f>COUNTIF($R$3:$R$80,"×")</f>
        <v>76</v>
      </c>
      <c r="S81" s="155">
        <f>COUNTIF($S$3:$S$80,"×")</f>
        <v>55</v>
      </c>
      <c r="T81" s="153">
        <f>COUNTIF($T$3:$T$80,"×")</f>
        <v>54</v>
      </c>
      <c r="U81" s="155">
        <f>COUNTIF($U$3:$U$80,"×")</f>
        <v>48</v>
      </c>
      <c r="V81" s="156">
        <f>COUNTIF($V$3:$V$80,"×")</f>
        <v>55</v>
      </c>
      <c r="W81" s="153">
        <f>COUNTIF($W$3:$W$80,"×")</f>
        <v>54</v>
      </c>
      <c r="X81" s="156">
        <f>COUNTIF($X$3:$X$80,"×")</f>
        <v>47</v>
      </c>
      <c r="Y81" s="164">
        <f>COUNTIF($Y$3:$Y$80,"×")</f>
        <v>22</v>
      </c>
    </row>
    <row r="82" spans="4:25" ht="20.100000000000001" customHeight="1" x14ac:dyDescent="0.4">
      <c r="D82" s="37" t="s">
        <v>241</v>
      </c>
      <c r="E82" s="134">
        <f>COUNTIF($E$3:$E$80,"□")</f>
        <v>0</v>
      </c>
      <c r="F82" s="31">
        <f>COUNTIF($F$3:$F$80,"□")</f>
        <v>0</v>
      </c>
      <c r="G82" s="129">
        <f>COUNTIF($G$3:$G$80,"□")</f>
        <v>0</v>
      </c>
      <c r="H82" s="31">
        <f>COUNTIF($H$3:$H$80,"□")</f>
        <v>0</v>
      </c>
      <c r="I82" s="129">
        <f>COUNTIF($I$3:$I$80,"□")</f>
        <v>0</v>
      </c>
      <c r="J82" s="31">
        <f>COUNTIF($J$3:$J$80,"□")</f>
        <v>0</v>
      </c>
      <c r="K82" s="129">
        <f>COUNTIF($K$3:$K$80,"□")</f>
        <v>0</v>
      </c>
      <c r="L82" s="31">
        <f>COUNTIF($L$3:$L$80,"□")</f>
        <v>0</v>
      </c>
      <c r="M82" s="129">
        <f>COUNTIF($M$3:$M$80,"□")</f>
        <v>0</v>
      </c>
      <c r="N82" s="31">
        <f>COUNTIF($N$3:$N$80,"□")</f>
        <v>0</v>
      </c>
      <c r="O82" s="129">
        <f>COUNTIF($O$3:$O$80,"□")</f>
        <v>0</v>
      </c>
      <c r="P82" s="31">
        <f>COUNTIF($P$3:$P$80,"□")</f>
        <v>0</v>
      </c>
      <c r="Q82" s="129">
        <f>COUNTIF($Q$3:$Q$80,"□")</f>
        <v>0</v>
      </c>
      <c r="R82" s="31">
        <f>COUNTIF($R$3:$R$80,"□")</f>
        <v>0</v>
      </c>
      <c r="S82" s="32">
        <f>COUNTIF($S$3:$S$80,"□")</f>
        <v>0</v>
      </c>
      <c r="T82" s="31">
        <f>COUNTIF($T$3:$T$80,"□")</f>
        <v>0</v>
      </c>
      <c r="U82" s="32">
        <f>COUNTIF($U$3:$U$80,"□")</f>
        <v>0</v>
      </c>
      <c r="V82" s="33">
        <f>COUNTIF($V$3:$V$80,"□")</f>
        <v>0</v>
      </c>
      <c r="W82" s="31">
        <f>COUNTIF($W$3:$W$80,"□")</f>
        <v>0</v>
      </c>
      <c r="X82" s="33">
        <f>COUNTIF($X$3:$X$80,"□")</f>
        <v>0</v>
      </c>
      <c r="Y82" s="35">
        <f>COUNTIF($Y$3:$Y$80,"□")</f>
        <v>0</v>
      </c>
    </row>
    <row r="83" spans="4:25" ht="20.100000000000001" customHeight="1" x14ac:dyDescent="0.4">
      <c r="D83" s="37" t="s">
        <v>33</v>
      </c>
      <c r="E83" s="134">
        <f>COUNTIF($E$3:$E$80,"△")</f>
        <v>0</v>
      </c>
      <c r="F83" s="31">
        <f>COUNTIF($F$3:$F$80,"△")</f>
        <v>6</v>
      </c>
      <c r="G83" s="129">
        <f>COUNTIF($G$3:$G$80,"△")</f>
        <v>7</v>
      </c>
      <c r="H83" s="31">
        <f>COUNTIF($H$3:$H$80,"△")</f>
        <v>5</v>
      </c>
      <c r="I83" s="129">
        <f>COUNTIF($I$3:$I$80,"△")</f>
        <v>1</v>
      </c>
      <c r="J83" s="31">
        <f>COUNTIF($J$3:$J$80,"△")</f>
        <v>11</v>
      </c>
      <c r="K83" s="129">
        <f>COUNTIF($K$3:$K$80,"△")</f>
        <v>4</v>
      </c>
      <c r="L83" s="31">
        <f>COUNTIF($L$3:$L$80,"△")</f>
        <v>5</v>
      </c>
      <c r="M83" s="129">
        <f>COUNTIF($M$3:$M$80,"△")</f>
        <v>1</v>
      </c>
      <c r="N83" s="31">
        <f>COUNTIF($N$3:$N$80,"△")</f>
        <v>10</v>
      </c>
      <c r="O83" s="129">
        <f>COUNTIF($O$3:$O$80,"△")</f>
        <v>2</v>
      </c>
      <c r="P83" s="31">
        <f>COUNTIF($P$3:$P$80,"△")</f>
        <v>2</v>
      </c>
      <c r="Q83" s="129">
        <f>COUNTIF($Q$3:$Q$80,"△")</f>
        <v>0</v>
      </c>
      <c r="R83" s="31">
        <f>COUNTIF($R$3:$R$80,"△")</f>
        <v>0</v>
      </c>
      <c r="S83" s="32">
        <f>COUNTIF($S$3:$S$80,"△")</f>
        <v>0</v>
      </c>
      <c r="T83" s="31">
        <f>COUNTIF($T$3:$T$80,"△")</f>
        <v>0</v>
      </c>
      <c r="U83" s="32">
        <f>COUNTIF($U$3:$U$80,"△")</f>
        <v>0</v>
      </c>
      <c r="V83" s="33">
        <f>COUNTIF($V$3:$V$80,"△")</f>
        <v>0</v>
      </c>
      <c r="W83" s="31">
        <f>COUNTIF($W$3:$W$80,"△")</f>
        <v>0</v>
      </c>
      <c r="X83" s="33">
        <f>COUNTIF($X$3:$X$80,"△")</f>
        <v>0</v>
      </c>
      <c r="Y83" s="35">
        <f>COUNTIF($Y$3:$Y$80,"△")</f>
        <v>0</v>
      </c>
    </row>
    <row r="84" spans="4:25" ht="20.100000000000001" customHeight="1" x14ac:dyDescent="0.4">
      <c r="D84" s="37" t="s">
        <v>235</v>
      </c>
      <c r="E84" s="134">
        <f>COUNTIF($E$3:$E$80,"▲")</f>
        <v>1</v>
      </c>
      <c r="F84" s="31">
        <f>COUNTIF($F$3:$F$80,"▲")</f>
        <v>0</v>
      </c>
      <c r="G84" s="129">
        <f>COUNTIF($G$3:$G$80,"▲")</f>
        <v>0</v>
      </c>
      <c r="H84" s="31">
        <f>COUNTIF($H$3:$H$80,"▲")</f>
        <v>0</v>
      </c>
      <c r="I84" s="129">
        <f>COUNTIF($I$3:$I$80,"▲")</f>
        <v>0</v>
      </c>
      <c r="J84" s="31">
        <f>COUNTIF($J$3:$J$80,"▲")</f>
        <v>0</v>
      </c>
      <c r="K84" s="129">
        <f>COUNTIF($K$3:$K$80,"▲")</f>
        <v>1</v>
      </c>
      <c r="L84" s="31">
        <f>COUNTIF($L$3:$L$80,"▲")</f>
        <v>0</v>
      </c>
      <c r="M84" s="129">
        <f>COUNTIF($M$3:$M$80,"▲")</f>
        <v>9</v>
      </c>
      <c r="N84" s="31">
        <f>COUNTIF($N$3:$N$80,"▲")</f>
        <v>0</v>
      </c>
      <c r="O84" s="129">
        <f>COUNTIF($O$3:$O$80,"▲")</f>
        <v>0</v>
      </c>
      <c r="P84" s="31">
        <f>COUNTIF($P$3:$P$80,"▲")</f>
        <v>0</v>
      </c>
      <c r="Q84" s="129">
        <f>COUNTIF($Q$3:$Q$80,"▲")</f>
        <v>0</v>
      </c>
      <c r="R84" s="31">
        <f>COUNTIF($R$3:$R$80,"▲")</f>
        <v>0</v>
      </c>
      <c r="S84" s="32">
        <f>COUNTIF($S$3:$S$80,"▲")</f>
        <v>0</v>
      </c>
      <c r="T84" s="31">
        <f>COUNTIF($T$3:$T$80,"▲")</f>
        <v>0</v>
      </c>
      <c r="U84" s="32">
        <f>COUNTIF($U$3:$U$80,"▲")</f>
        <v>0</v>
      </c>
      <c r="V84" s="33">
        <f>COUNTIF($V$3:$V$80,"▲")</f>
        <v>0</v>
      </c>
      <c r="W84" s="31">
        <f>COUNTIF($W$3:$W$80,"▲")</f>
        <v>0</v>
      </c>
      <c r="X84" s="33">
        <f>COUNTIF($X$3:$X$80,"▲")</f>
        <v>0</v>
      </c>
      <c r="Y84" s="35">
        <f>COUNTIF($Y$3:$Y$80,"▲")</f>
        <v>0</v>
      </c>
    </row>
    <row r="85" spans="4:25" ht="20.100000000000001" customHeight="1" x14ac:dyDescent="0.4">
      <c r="D85" s="37" t="s">
        <v>34</v>
      </c>
      <c r="E85" s="134">
        <f>COUNTIF($E$3:$E$80,"〇")</f>
        <v>8</v>
      </c>
      <c r="F85" s="31">
        <f>COUNTIF($F$3:$F$80,"〇")</f>
        <v>24</v>
      </c>
      <c r="G85" s="129">
        <f>COUNTIF($G$3:$G$80,"〇")</f>
        <v>20</v>
      </c>
      <c r="H85" s="31">
        <f>COUNTIF($H$3:$H$80,"〇")</f>
        <v>17</v>
      </c>
      <c r="I85" s="129">
        <f>COUNTIF($I$3:$I$80,"〇")</f>
        <v>4</v>
      </c>
      <c r="J85" s="31">
        <f>COUNTIF($J$3:$J$80,"〇")</f>
        <v>43</v>
      </c>
      <c r="K85" s="129">
        <f>COUNTIF($K$3:$K$80,"〇")</f>
        <v>27</v>
      </c>
      <c r="L85" s="31">
        <f>COUNTIF($L$3:$L$80,"〇")</f>
        <v>56</v>
      </c>
      <c r="M85" s="129">
        <f>COUNTIF($M$3:$M$80,"〇")</f>
        <v>7</v>
      </c>
      <c r="N85" s="31">
        <f>COUNTIF($N$3:$N$80,"〇")</f>
        <v>60</v>
      </c>
      <c r="O85" s="129">
        <f>COUNTIF($O$3:$O$80,"〇")</f>
        <v>16</v>
      </c>
      <c r="P85" s="31">
        <f>COUNTIF($P$3:$P$80,"〇")</f>
        <v>6</v>
      </c>
      <c r="Q85" s="129">
        <f>COUNTIF($Q$3:$Q$80,"〇")</f>
        <v>8</v>
      </c>
      <c r="R85" s="31">
        <f>COUNTIF($R$3:$R$80,"〇")</f>
        <v>2</v>
      </c>
      <c r="S85" s="32">
        <f>COUNTIF($S$3:$S$80,"〇")</f>
        <v>23</v>
      </c>
      <c r="T85" s="31">
        <f>COUNTIF($T$3:$T$80,"〇")</f>
        <v>24</v>
      </c>
      <c r="U85" s="32">
        <f>COUNTIF($U$3:$U$80,"〇")</f>
        <v>30</v>
      </c>
      <c r="V85" s="33">
        <f>COUNTIF($V$3:$V$80,"〇")</f>
        <v>23</v>
      </c>
      <c r="W85" s="31">
        <f>COUNTIF($W$3:$W$80,"〇")</f>
        <v>24</v>
      </c>
      <c r="X85" s="33">
        <f>COUNTIF($X$3:$X$80,"〇")</f>
        <v>31</v>
      </c>
      <c r="Y85" s="35">
        <f>COUNTIF($Y$3:$Y$80,"〇")</f>
        <v>56</v>
      </c>
    </row>
    <row r="86" spans="4:25" ht="20.100000000000001" customHeight="1" x14ac:dyDescent="0.4">
      <c r="D86" s="37" t="s">
        <v>236</v>
      </c>
      <c r="E86" s="134">
        <f>COUNTIF($E$3:$E$80,"●")</f>
        <v>0</v>
      </c>
      <c r="F86" s="31">
        <f>COUNTIF($F$3:$F$80,"●")</f>
        <v>0</v>
      </c>
      <c r="G86" s="129">
        <f>COUNTIF($G$3:$G$80,"●")</f>
        <v>0</v>
      </c>
      <c r="H86" s="31">
        <f>COUNTIF($H$3:$H$80,"●")</f>
        <v>0</v>
      </c>
      <c r="I86" s="129">
        <f>COUNTIF($I$3:$I$80,"●")</f>
        <v>0</v>
      </c>
      <c r="J86" s="31">
        <f>COUNTIF($J$3:$J$80,"●")</f>
        <v>1</v>
      </c>
      <c r="K86" s="129">
        <f>COUNTIF($K$3:$K$80,"●")</f>
        <v>1</v>
      </c>
      <c r="L86" s="31">
        <f>COUNTIF($L$3:$L$80,"●")</f>
        <v>1</v>
      </c>
      <c r="M86" s="129">
        <f>COUNTIF($M$3:$M$80,"●")</f>
        <v>0</v>
      </c>
      <c r="N86" s="31">
        <f>COUNTIF($N$3:$N$80,"●")</f>
        <v>0</v>
      </c>
      <c r="O86" s="129">
        <f>COUNTIF($O$3:$O$80,"●")</f>
        <v>0</v>
      </c>
      <c r="P86" s="31">
        <f>COUNTIF($P$3:$P$80,"●")</f>
        <v>0</v>
      </c>
      <c r="Q86" s="129">
        <f>COUNTIF($Q$3:$Q$80,"●")</f>
        <v>0</v>
      </c>
      <c r="R86" s="31">
        <f>COUNTIF($R$3:$R$80,"●")</f>
        <v>0</v>
      </c>
      <c r="S86" s="32">
        <f>COUNTIF($S$3:$S$80,"●")</f>
        <v>0</v>
      </c>
      <c r="T86" s="31">
        <f>COUNTIF($T$3:$T$80,"●")</f>
        <v>0</v>
      </c>
      <c r="U86" s="32">
        <f>COUNTIF($U$3:$U$80,"●")</f>
        <v>0</v>
      </c>
      <c r="V86" s="33">
        <f>COUNTIF($V$3:$V$80,"●")</f>
        <v>0</v>
      </c>
      <c r="W86" s="31">
        <f>COUNTIF($W$3:$W$80,"●")</f>
        <v>0</v>
      </c>
      <c r="X86" s="33">
        <f>COUNTIF($X$3:$X$80,"●")</f>
        <v>0</v>
      </c>
      <c r="Y86" s="35">
        <f>COUNTIF($Y$3:$Y$80,"●")</f>
        <v>0</v>
      </c>
    </row>
    <row r="87" spans="4:25" ht="20.100000000000001" customHeight="1" x14ac:dyDescent="0.4">
      <c r="D87" s="37" t="s">
        <v>237</v>
      </c>
      <c r="E87" s="134">
        <f>COUNTIF($E$3:$E$80,"★")</f>
        <v>0</v>
      </c>
      <c r="F87" s="31">
        <f>COUNTIF($F$3:$F$80,"★")</f>
        <v>0</v>
      </c>
      <c r="G87" s="129">
        <f>COUNTIF($G$3:$G$80,"★")</f>
        <v>0</v>
      </c>
      <c r="H87" s="31">
        <f>COUNTIF($H$3:$H$80,"★")</f>
        <v>1</v>
      </c>
      <c r="I87" s="129">
        <f>COUNTIF($I$3:$I$80,"★")</f>
        <v>0</v>
      </c>
      <c r="J87" s="31">
        <f>COUNTIF($J$3:$J$80,"★")</f>
        <v>0</v>
      </c>
      <c r="K87" s="129">
        <f>COUNTIF($K$3:$K$80,"★")</f>
        <v>0</v>
      </c>
      <c r="L87" s="31">
        <f>COUNTIF($L$3:$L$80,"★")</f>
        <v>0</v>
      </c>
      <c r="M87" s="129">
        <f>COUNTIF($M$3:$M$80,"★")</f>
        <v>0</v>
      </c>
      <c r="N87" s="31">
        <f>COUNTIF($N$3:$N$80,"★")</f>
        <v>0</v>
      </c>
      <c r="O87" s="129">
        <f>COUNTIF($O$3:$O$80,"★")</f>
        <v>0</v>
      </c>
      <c r="P87" s="31">
        <f>COUNTIF($P$3:$P$80,"★")</f>
        <v>0</v>
      </c>
      <c r="Q87" s="129">
        <f>COUNTIF($Q$3:$Q$80,"★")</f>
        <v>0</v>
      </c>
      <c r="R87" s="31">
        <f>COUNTIF($R$3:$R$80,"★")</f>
        <v>0</v>
      </c>
      <c r="S87" s="32">
        <f>COUNTIF($S$3:$S$80,"★")</f>
        <v>0</v>
      </c>
      <c r="T87" s="31">
        <f>COUNTIF($T$3:$T$80,"★")</f>
        <v>0</v>
      </c>
      <c r="U87" s="32">
        <f>COUNTIF($U$3:$U$80,"★")</f>
        <v>0</v>
      </c>
      <c r="V87" s="33">
        <f>COUNTIF($V$3:$V$80,"★")</f>
        <v>0</v>
      </c>
      <c r="W87" s="31">
        <f>COUNTIF($W$3:$W$80,"★")</f>
        <v>0</v>
      </c>
      <c r="X87" s="33">
        <f>COUNTIF($X$3:$X$80,"★")</f>
        <v>0</v>
      </c>
      <c r="Y87" s="35">
        <f>COUNTIF($Y$3:$Y$80,"★")</f>
        <v>0</v>
      </c>
    </row>
    <row r="88" spans="4:25" ht="20.100000000000001" customHeight="1" thickBot="1" x14ac:dyDescent="0.45">
      <c r="D88" s="38" t="s">
        <v>35</v>
      </c>
      <c r="E88" s="135">
        <f>COUNTIF($E$3:$E$80,"◎")</f>
        <v>7</v>
      </c>
      <c r="F88" s="96">
        <f>COUNTIF($F$3:$F$80,"◎")</f>
        <v>7</v>
      </c>
      <c r="G88" s="130">
        <f>COUNTIF($G$3:$G$80,"◎")</f>
        <v>3</v>
      </c>
      <c r="H88" s="96">
        <f>COUNTIF($H$3:$H$80,"◎")</f>
        <v>3</v>
      </c>
      <c r="I88" s="130">
        <f>COUNTIF($I$3:$I$80,"◎")</f>
        <v>5</v>
      </c>
      <c r="J88" s="96">
        <f>COUNTIF($J$3:$J$80,"◎")</f>
        <v>6</v>
      </c>
      <c r="K88" s="130">
        <f>COUNTIF($K$3:$K$80,"◎")</f>
        <v>5</v>
      </c>
      <c r="L88" s="96">
        <f>COUNTIF($L$3:$L$80,"◎")</f>
        <v>6</v>
      </c>
      <c r="M88" s="130">
        <f>COUNTIF($M$3:$M$80,"◎")</f>
        <v>6</v>
      </c>
      <c r="N88" s="96">
        <f>COUNTIF($N$3:$N$80,"◎")</f>
        <v>0</v>
      </c>
      <c r="O88" s="130">
        <f>COUNTIF($O$3:$O$80,"◎")</f>
        <v>1</v>
      </c>
      <c r="P88" s="96">
        <f>COUNTIF($P$3:$P$80,"◎")</f>
        <v>1</v>
      </c>
      <c r="Q88" s="130">
        <f>COUNTIF($Q$3:$Q$80,"◎")</f>
        <v>0</v>
      </c>
      <c r="R88" s="96">
        <f>COUNTIF($R$3:$R$80,"◎")</f>
        <v>0</v>
      </c>
      <c r="S88" s="97">
        <f>COUNTIF($S$3:$S$80,"◎")</f>
        <v>0</v>
      </c>
      <c r="T88" s="96">
        <f>COUNTIF($T$3:$T$80,"◎")</f>
        <v>0</v>
      </c>
      <c r="U88" s="97">
        <f>COUNTIF($U$3:$U$80,"◎")</f>
        <v>0</v>
      </c>
      <c r="V88" s="98">
        <f>COUNTIF($V$3:$V$80,"◎")</f>
        <v>0</v>
      </c>
      <c r="W88" s="96">
        <f>COUNTIF($W$3:$W$80,"◎")</f>
        <v>0</v>
      </c>
      <c r="X88" s="98">
        <f>COUNTIF($X$3:$X$80,"◎")</f>
        <v>0</v>
      </c>
      <c r="Y88" s="99">
        <f>COUNTIF($Y$3:$Y$80,"◎")</f>
        <v>0</v>
      </c>
    </row>
  </sheetData>
  <phoneticPr fontId="1"/>
  <conditionalFormatting sqref="D3:D80">
    <cfRule type="endsWith" dxfId="74" priority="1" stopIfTrue="1" operator="endsWith" text="RT">
      <formula>RIGHT(D3,LEN("RT"))="RT"</formula>
    </cfRule>
    <cfRule type="endsWith" dxfId="73" priority="2" stopIfTrue="1" operator="endsWith" text="MR">
      <formula>RIGHT(D3,LEN("MR"))="MR"</formula>
    </cfRule>
    <cfRule type="endsWith" dxfId="72" priority="3" stopIfTrue="1" operator="endsWith" text="TV">
      <formula>RIGHT(D3,LEN("TV"))="TV"</formula>
    </cfRule>
    <cfRule type="endsWith" dxfId="71" priority="4" stopIfTrue="1" operator="endsWith" text="KS">
      <formula>RIGHT(D3,LEN("KS"))="KS"</formula>
    </cfRule>
    <cfRule type="endsWith" dxfId="70" priority="5" stopIfTrue="1" operator="endsWith" text="NM">
      <formula>RIGHT(D3,LEN("NM"))="NM"</formula>
    </cfRule>
    <cfRule type="endsWith" dxfId="69" priority="6" stopIfTrue="1" operator="endsWith" text="XP">
      <formula>RIGHT(D3,LEN("XP"))="XP"</formula>
    </cfRule>
    <cfRule type="endsWith" dxfId="68" priority="7" stopIfTrue="1" operator="endsWith" text="MG">
      <formula>RIGHT(D3,LEN("MG"))="MG"</formula>
    </cfRule>
    <cfRule type="endsWith" dxfId="67" priority="8" stopIfTrue="1" operator="endsWith" text="MT">
      <formula>RIGHT(D3,LEN("MT"))="MT"</formula>
    </cfRule>
    <cfRule type="endsWith" dxfId="66" priority="9" stopIfTrue="1" operator="endsWith" text="CT">
      <formula>RIGHT(D3,LEN("CT"))="CT"</formula>
    </cfRule>
    <cfRule type="endsWith" dxfId="65" priority="10" stopIfTrue="1" operator="endsWith" text="XO">
      <formula>RIGHT(D3,LEN("XO"))="XO"</formula>
    </cfRule>
    <cfRule type="endsWith" dxfId="64" priority="11" stopIfTrue="1" operator="endsWith" text="AG">
      <formula>RIGHT(D3,LEN("AG"))="AG"</formula>
    </cfRule>
    <cfRule type="endsWith" dxfId="63" priority="12" stopIfTrue="1" operator="endsWith" text="FR">
      <formula>RIGHT(D3,LEN("FR"))="FR"</formula>
    </cfRule>
    <cfRule type="endsWith" dxfId="62" priority="13" stopIfTrue="1" operator="endsWith" text="AS">
      <formula>RIGHT(D3,LEN("AS"))="AS"</formula>
    </cfRule>
    <cfRule type="endsWith" dxfId="61" priority="14" stopIfTrue="1" operator="endsWith" text="ET">
      <formula>RIGHT(D3,LEN("ET"))="ET"</formula>
    </cfRule>
  </conditionalFormatting>
  <dataValidations count="4">
    <dataValidation type="list" operator="equal" allowBlank="1" showInputMessage="1" showErrorMessage="1" sqref="E3:E80 F3:F80 G3:G80 H3:H80 I3:I80 J3:J80 K3:K80 L3:L80 M3:M80" xr:uid="{813C37BA-F819-4E3D-B74D-219B4EDBD978}">
      <formula1>"×,△,▲,〇,●,★,◎"</formula1>
    </dataValidation>
    <dataValidation type="list" operator="equal" allowBlank="1" showInputMessage="1" showErrorMessage="1" sqref="N3:N80 Q3:Q80 R3:R80" xr:uid="{F57096F5-FCFA-4E4F-9F7D-30634ADF5DA4}">
      <formula1>"×,△,〇"</formula1>
    </dataValidation>
    <dataValidation type="list" operator="equal" allowBlank="1" showInputMessage="1" showErrorMessage="1" sqref="O3:O80 P3:P80" xr:uid="{DB931516-C369-49B3-940E-A7E8C3EAEB59}">
      <formula1>"×,△,〇,◎"</formula1>
    </dataValidation>
    <dataValidation type="list" operator="equal" allowBlank="1" showInputMessage="1" showErrorMessage="1" sqref="S3:S80 T3:T80 U3:U80 V3:V80 W3:W80 X3:X80 Y3:Y80" xr:uid="{0CC4BC62-A796-4268-9645-D2AD085FD2DC}">
      <formula1>"×,〇"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276225</xdr:colOff>
                <xdr:row>0</xdr:row>
                <xdr:rowOff>419100</xdr:rowOff>
              </from>
              <to>
                <xdr:col>2</xdr:col>
                <xdr:colOff>381000</xdr:colOff>
                <xdr:row>1</xdr:row>
                <xdr:rowOff>66675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43"/>
  <sheetViews>
    <sheetView workbookViewId="0">
      <selection activeCell="E17" sqref="E17"/>
    </sheetView>
  </sheetViews>
  <sheetFormatPr defaultColWidth="9" defaultRowHeight="20.100000000000001" customHeight="1" x14ac:dyDescent="0.4"/>
  <cols>
    <col min="1" max="1" width="10.625" style="50" customWidth="1"/>
    <col min="2" max="2" width="6.625" style="50" customWidth="1"/>
    <col min="3" max="3" width="10.625" style="50" customWidth="1"/>
    <col min="4" max="4" width="6.625" style="50" customWidth="1"/>
    <col min="5" max="5" width="10.625" style="50" customWidth="1"/>
    <col min="6" max="6" width="6.625" style="50" customWidth="1"/>
    <col min="7" max="7" width="10.625" style="50" customWidth="1"/>
    <col min="8" max="8" width="6.625" style="50" customWidth="1"/>
    <col min="9" max="9" width="10.625" style="50" customWidth="1"/>
    <col min="10" max="10" width="6.625" style="50" customWidth="1"/>
    <col min="11" max="12" width="10.625" style="50" customWidth="1"/>
    <col min="13" max="16384" width="9" style="50"/>
  </cols>
  <sheetData>
    <row r="1" spans="1:12" ht="20.100000000000001" customHeight="1" x14ac:dyDescent="0.4">
      <c r="D1" s="85" t="s">
        <v>198</v>
      </c>
    </row>
    <row r="2" spans="1:12" ht="20.100000000000001" customHeight="1" thickBot="1" x14ac:dyDescent="0.45"/>
    <row r="3" spans="1:12" ht="20.100000000000001" customHeight="1" x14ac:dyDescent="0.4">
      <c r="A3" s="255" t="s">
        <v>622</v>
      </c>
      <c r="B3" s="255"/>
      <c r="C3" s="255" t="s">
        <v>199</v>
      </c>
      <c r="D3" s="255"/>
      <c r="E3" s="255" t="s">
        <v>623</v>
      </c>
      <c r="F3" s="255"/>
      <c r="G3" s="255" t="s">
        <v>200</v>
      </c>
      <c r="H3" s="255"/>
      <c r="I3" s="255" t="s">
        <v>201</v>
      </c>
      <c r="J3" s="255"/>
      <c r="L3" s="82" t="s">
        <v>121</v>
      </c>
    </row>
    <row r="4" spans="1:12" ht="20.100000000000001" customHeight="1" thickBot="1" x14ac:dyDescent="0.45">
      <c r="A4" s="101"/>
      <c r="B4" s="102"/>
      <c r="C4" s="101" t="s">
        <v>133</v>
      </c>
      <c r="D4" s="102" t="s">
        <v>35</v>
      </c>
      <c r="E4" s="101"/>
      <c r="F4" s="102"/>
      <c r="G4" s="95" t="s">
        <v>101</v>
      </c>
      <c r="H4" s="108" t="s">
        <v>35</v>
      </c>
      <c r="I4" s="95" t="s">
        <v>133</v>
      </c>
      <c r="J4" s="73"/>
      <c r="L4" s="83" t="s">
        <v>147</v>
      </c>
    </row>
    <row r="5" spans="1:12" ht="20.100000000000001" customHeight="1" x14ac:dyDescent="0.4">
      <c r="G5" s="89" t="s">
        <v>91</v>
      </c>
      <c r="H5" s="105"/>
      <c r="I5" s="89" t="s">
        <v>135</v>
      </c>
      <c r="J5" s="57"/>
      <c r="L5" s="83" t="s">
        <v>7</v>
      </c>
    </row>
    <row r="6" spans="1:12" ht="20.100000000000001" customHeight="1" x14ac:dyDescent="0.4">
      <c r="G6" s="89" t="s">
        <v>155</v>
      </c>
      <c r="H6" s="105"/>
      <c r="I6" s="89" t="s">
        <v>137</v>
      </c>
      <c r="J6" s="57"/>
      <c r="L6" s="83" t="s">
        <v>153</v>
      </c>
    </row>
    <row r="7" spans="1:12" ht="20.100000000000001" customHeight="1" x14ac:dyDescent="0.4">
      <c r="G7" s="89" t="s">
        <v>46</v>
      </c>
      <c r="H7" s="105"/>
      <c r="I7" s="89" t="s">
        <v>63</v>
      </c>
      <c r="J7" s="57"/>
      <c r="L7" s="83" t="s">
        <v>167</v>
      </c>
    </row>
    <row r="8" spans="1:12" ht="20.100000000000001" customHeight="1" x14ac:dyDescent="0.4">
      <c r="G8" s="89" t="s">
        <v>48</v>
      </c>
      <c r="H8" s="105"/>
      <c r="I8" s="89" t="s">
        <v>139</v>
      </c>
      <c r="J8" s="57"/>
      <c r="L8" s="83" t="s">
        <v>71</v>
      </c>
    </row>
    <row r="9" spans="1:12" ht="20.100000000000001" customHeight="1" x14ac:dyDescent="0.4">
      <c r="G9" s="89" t="s">
        <v>163</v>
      </c>
      <c r="H9" s="105"/>
      <c r="I9" s="89" t="s">
        <v>141</v>
      </c>
      <c r="J9" s="57"/>
      <c r="L9" s="83" t="s">
        <v>112</v>
      </c>
    </row>
    <row r="10" spans="1:12" ht="20.100000000000001" customHeight="1" x14ac:dyDescent="0.4">
      <c r="G10" s="89" t="s">
        <v>165</v>
      </c>
      <c r="H10" s="105"/>
      <c r="I10" s="89" t="s">
        <v>104</v>
      </c>
      <c r="J10" s="57"/>
      <c r="L10" s="83" t="s">
        <v>169</v>
      </c>
    </row>
    <row r="11" spans="1:12" ht="20.100000000000001" customHeight="1" x14ac:dyDescent="0.4">
      <c r="G11" s="89" t="s">
        <v>54</v>
      </c>
      <c r="H11" s="105"/>
      <c r="I11" s="89" t="s">
        <v>66</v>
      </c>
      <c r="J11" s="57"/>
      <c r="L11" s="83" t="s">
        <v>171</v>
      </c>
    </row>
    <row r="12" spans="1:12" ht="20.100000000000001" customHeight="1" thickBot="1" x14ac:dyDescent="0.45">
      <c r="G12" s="90" t="s">
        <v>93</v>
      </c>
      <c r="H12" s="107"/>
      <c r="I12" s="89" t="s">
        <v>106</v>
      </c>
      <c r="J12" s="57"/>
      <c r="L12" s="83" t="s">
        <v>52</v>
      </c>
    </row>
    <row r="13" spans="1:12" ht="20.100000000000001" customHeight="1" x14ac:dyDescent="0.4">
      <c r="I13" s="89" t="s">
        <v>69</v>
      </c>
      <c r="J13" s="57"/>
      <c r="L13" s="83" t="s">
        <v>175</v>
      </c>
    </row>
    <row r="14" spans="1:12" ht="20.100000000000001" customHeight="1" x14ac:dyDescent="0.4">
      <c r="I14" s="89" t="s">
        <v>87</v>
      </c>
      <c r="J14" s="57"/>
      <c r="L14" s="83" t="s">
        <v>56</v>
      </c>
    </row>
    <row r="15" spans="1:12" ht="20.100000000000001" customHeight="1" x14ac:dyDescent="0.4">
      <c r="I15" s="89" t="s">
        <v>42</v>
      </c>
      <c r="J15" s="57"/>
      <c r="L15" s="83" t="s">
        <v>177</v>
      </c>
    </row>
    <row r="16" spans="1:12" ht="20.100000000000001" customHeight="1" x14ac:dyDescent="0.4">
      <c r="I16" s="89" t="s">
        <v>110</v>
      </c>
      <c r="J16" s="57"/>
      <c r="L16" s="83" t="s">
        <v>114</v>
      </c>
    </row>
    <row r="17" spans="9:12" ht="20.100000000000001" customHeight="1" x14ac:dyDescent="0.4">
      <c r="I17" s="89" t="s">
        <v>151</v>
      </c>
      <c r="J17" s="57"/>
      <c r="L17" s="83" t="s">
        <v>58</v>
      </c>
    </row>
    <row r="18" spans="9:12" ht="20.100000000000001" customHeight="1" x14ac:dyDescent="0.4">
      <c r="I18" s="89" t="s">
        <v>91</v>
      </c>
      <c r="J18" s="57"/>
      <c r="L18" s="83" t="s">
        <v>179</v>
      </c>
    </row>
    <row r="19" spans="9:12" ht="20.100000000000001" customHeight="1" x14ac:dyDescent="0.4">
      <c r="I19" s="89" t="s">
        <v>44</v>
      </c>
      <c r="J19" s="57"/>
      <c r="L19" s="83" t="s">
        <v>181</v>
      </c>
    </row>
    <row r="20" spans="9:12" ht="20.100000000000001" customHeight="1" x14ac:dyDescent="0.4">
      <c r="I20" s="89" t="s">
        <v>157</v>
      </c>
      <c r="J20" s="57"/>
      <c r="L20" s="83" t="s">
        <v>195</v>
      </c>
    </row>
    <row r="21" spans="9:12" ht="20.100000000000001" customHeight="1" x14ac:dyDescent="0.4">
      <c r="I21" s="89" t="s">
        <v>159</v>
      </c>
      <c r="J21" s="57"/>
      <c r="L21" s="83" t="s">
        <v>89</v>
      </c>
    </row>
    <row r="22" spans="9:12" ht="20.100000000000001" customHeight="1" x14ac:dyDescent="0.4">
      <c r="I22" s="89" t="s">
        <v>46</v>
      </c>
      <c r="J22" s="57"/>
      <c r="L22" s="83" t="s">
        <v>173</v>
      </c>
    </row>
    <row r="23" spans="9:12" ht="20.100000000000001" customHeight="1" x14ac:dyDescent="0.4">
      <c r="I23" s="89" t="s">
        <v>161</v>
      </c>
      <c r="J23" s="57"/>
      <c r="L23" s="83" t="s">
        <v>73</v>
      </c>
    </row>
    <row r="24" spans="9:12" ht="20.100000000000001" customHeight="1" x14ac:dyDescent="0.4">
      <c r="I24" s="89" t="s">
        <v>124</v>
      </c>
      <c r="J24" s="57" t="s">
        <v>35</v>
      </c>
      <c r="L24" s="83" t="s">
        <v>183</v>
      </c>
    </row>
    <row r="25" spans="9:12" ht="20.100000000000001" customHeight="1" x14ac:dyDescent="0.4">
      <c r="I25" s="89" t="s">
        <v>40</v>
      </c>
      <c r="J25" s="57"/>
      <c r="L25" s="83" t="s">
        <v>185</v>
      </c>
    </row>
    <row r="26" spans="9:12" ht="20.100000000000001" customHeight="1" thickBot="1" x14ac:dyDescent="0.45">
      <c r="I26" s="90" t="s">
        <v>145</v>
      </c>
      <c r="J26" s="91"/>
      <c r="L26" s="83" t="s">
        <v>187</v>
      </c>
    </row>
    <row r="27" spans="9:12" ht="20.100000000000001" customHeight="1" x14ac:dyDescent="0.4">
      <c r="L27" s="83" t="s">
        <v>97</v>
      </c>
    </row>
    <row r="28" spans="9:12" ht="20.100000000000001" customHeight="1" x14ac:dyDescent="0.4">
      <c r="L28" s="83" t="s">
        <v>81</v>
      </c>
    </row>
    <row r="29" spans="9:12" ht="20.100000000000001" customHeight="1" x14ac:dyDescent="0.4">
      <c r="L29" s="83" t="s">
        <v>189</v>
      </c>
    </row>
    <row r="30" spans="9:12" ht="20.100000000000001" customHeight="1" x14ac:dyDescent="0.4">
      <c r="L30" s="83" t="s">
        <v>77</v>
      </c>
    </row>
    <row r="31" spans="9:12" ht="20.100000000000001" customHeight="1" x14ac:dyDescent="0.4">
      <c r="L31" s="83" t="s">
        <v>191</v>
      </c>
    </row>
    <row r="32" spans="9:12" ht="20.100000000000001" customHeight="1" x14ac:dyDescent="0.4">
      <c r="L32" s="83" t="s">
        <v>75</v>
      </c>
    </row>
    <row r="33" spans="12:12" ht="20.100000000000001" customHeight="1" x14ac:dyDescent="0.4">
      <c r="L33" s="83" t="s">
        <v>99</v>
      </c>
    </row>
    <row r="34" spans="12:12" ht="20.100000000000001" customHeight="1" x14ac:dyDescent="0.4">
      <c r="L34" s="83" t="s">
        <v>143</v>
      </c>
    </row>
    <row r="35" spans="12:12" ht="20.100000000000001" customHeight="1" x14ac:dyDescent="0.4">
      <c r="L35" s="83" t="s">
        <v>50</v>
      </c>
    </row>
    <row r="36" spans="12:12" ht="20.100000000000001" customHeight="1" x14ac:dyDescent="0.4">
      <c r="L36" s="83" t="s">
        <v>95</v>
      </c>
    </row>
    <row r="37" spans="12:12" ht="20.100000000000001" customHeight="1" x14ac:dyDescent="0.4">
      <c r="L37" s="83" t="s">
        <v>193</v>
      </c>
    </row>
    <row r="38" spans="12:12" ht="20.100000000000001" customHeight="1" x14ac:dyDescent="0.4">
      <c r="L38" s="83" t="s">
        <v>116</v>
      </c>
    </row>
    <row r="39" spans="12:12" ht="20.100000000000001" customHeight="1" x14ac:dyDescent="0.4">
      <c r="L39" s="83" t="s">
        <v>79</v>
      </c>
    </row>
    <row r="40" spans="12:12" ht="20.100000000000001" customHeight="1" x14ac:dyDescent="0.4">
      <c r="L40" s="83" t="s">
        <v>85</v>
      </c>
    </row>
    <row r="41" spans="12:12" ht="20.100000000000001" customHeight="1" x14ac:dyDescent="0.4">
      <c r="L41" s="83" t="s">
        <v>149</v>
      </c>
    </row>
    <row r="42" spans="12:12" ht="20.100000000000001" customHeight="1" x14ac:dyDescent="0.4">
      <c r="L42" s="83" t="s">
        <v>118</v>
      </c>
    </row>
    <row r="43" spans="12:12" ht="20.100000000000001" customHeight="1" thickBot="1" x14ac:dyDescent="0.45">
      <c r="L43" s="84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50" priority="1" stopIfTrue="1" operator="endsWith" text="医療被ばく">
      <formula>RIGHT(A3,LEN("医療被ばく"))="医療被ばく"</formula>
    </cfRule>
    <cfRule type="endsWith" dxfId="49" priority="2" stopIfTrue="1" operator="endsWith" text="医療安全">
      <formula>RIGHT(A3,LEN("医療安全"))="医療安全"</formula>
    </cfRule>
    <cfRule type="endsWith" dxfId="48" priority="3" stopIfTrue="1" operator="endsWith" text="放射線システム">
      <formula>RIGHT(A3,LEN("放射線システム"))="放射線システム"</formula>
    </cfRule>
    <cfRule type="endsWith" dxfId="47" priority="4" stopIfTrue="1" operator="endsWith" text="装置管理">
      <formula>RIGHT(A3,LEN("装置管理"))="装置管理"</formula>
    </cfRule>
    <cfRule type="endsWith" dxfId="46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workbookViewId="0">
      <selection activeCell="C21" sqref="C21"/>
    </sheetView>
  </sheetViews>
  <sheetFormatPr defaultColWidth="9" defaultRowHeight="20.100000000000001" customHeight="1" x14ac:dyDescent="0.4"/>
  <cols>
    <col min="1" max="1" width="5.625" style="50" customWidth="1"/>
    <col min="2" max="2" width="8.625" style="50" customWidth="1"/>
    <col min="3" max="3" width="10.625" style="50" customWidth="1"/>
    <col min="4" max="16" width="7.625" style="50" customWidth="1"/>
    <col min="17" max="17" width="6.625" style="50" customWidth="1"/>
    <col min="18" max="16384" width="9" style="50"/>
  </cols>
  <sheetData>
    <row r="2" spans="1:17" ht="20.100000000000001" customHeight="1" thickBot="1" x14ac:dyDescent="0.45"/>
    <row r="3" spans="1:17" ht="80.099999999999994" customHeight="1" thickBot="1" x14ac:dyDescent="0.45">
      <c r="D3" s="76">
        <v>45017</v>
      </c>
      <c r="E3" s="74">
        <v>45047</v>
      </c>
      <c r="F3" s="74">
        <v>45078</v>
      </c>
      <c r="G3" s="74">
        <v>45108</v>
      </c>
      <c r="H3" s="74">
        <v>45139</v>
      </c>
      <c r="I3" s="74">
        <v>45170</v>
      </c>
      <c r="J3" s="74">
        <v>45200</v>
      </c>
      <c r="K3" s="74">
        <v>45231</v>
      </c>
      <c r="L3" s="75">
        <v>45261</v>
      </c>
      <c r="M3" s="74">
        <v>45292</v>
      </c>
      <c r="N3" s="74">
        <v>45323</v>
      </c>
      <c r="O3" s="74">
        <v>45352</v>
      </c>
      <c r="P3" s="103">
        <v>45383</v>
      </c>
      <c r="Q3" s="113" t="s">
        <v>202</v>
      </c>
    </row>
    <row r="4" spans="1:17" ht="20.100000000000001" customHeight="1" x14ac:dyDescent="0.4">
      <c r="A4" s="62">
        <v>4</v>
      </c>
      <c r="B4" s="46" t="s">
        <v>36</v>
      </c>
      <c r="C4" s="48" t="s">
        <v>37</v>
      </c>
      <c r="D4" s="51" t="s">
        <v>38</v>
      </c>
      <c r="E4" s="52" t="s">
        <v>38</v>
      </c>
      <c r="F4" s="52" t="s">
        <v>38</v>
      </c>
      <c r="G4" s="52" t="s">
        <v>38</v>
      </c>
      <c r="H4" s="52" t="s">
        <v>38</v>
      </c>
      <c r="I4" s="52" t="s">
        <v>38</v>
      </c>
      <c r="J4" s="52" t="s">
        <v>38</v>
      </c>
      <c r="K4" s="52" t="s">
        <v>38</v>
      </c>
      <c r="L4" s="77" t="s">
        <v>38</v>
      </c>
      <c r="M4" s="52" t="s">
        <v>38</v>
      </c>
      <c r="N4" s="52"/>
      <c r="O4" s="52"/>
      <c r="P4" s="104"/>
      <c r="Q4" s="82">
        <v>40</v>
      </c>
    </row>
    <row r="5" spans="1:17" ht="20.100000000000001" customHeight="1" x14ac:dyDescent="0.4">
      <c r="A5" s="63">
        <v>20</v>
      </c>
      <c r="B5" s="47" t="s">
        <v>39</v>
      </c>
      <c r="C5" s="49" t="s">
        <v>40</v>
      </c>
      <c r="D5" s="53" t="s">
        <v>38</v>
      </c>
      <c r="E5" s="54" t="s">
        <v>38</v>
      </c>
      <c r="F5" s="54" t="s">
        <v>38</v>
      </c>
      <c r="G5" s="54" t="s">
        <v>38</v>
      </c>
      <c r="H5" s="54" t="s">
        <v>38</v>
      </c>
      <c r="I5" s="54" t="s">
        <v>38</v>
      </c>
      <c r="J5" s="54" t="s">
        <v>38</v>
      </c>
      <c r="K5" s="54" t="s">
        <v>38</v>
      </c>
      <c r="L5" s="78" t="s">
        <v>38</v>
      </c>
      <c r="M5" s="54"/>
      <c r="N5" s="54"/>
      <c r="O5" s="54"/>
      <c r="P5" s="105"/>
      <c r="Q5" s="83">
        <v>40</v>
      </c>
    </row>
    <row r="6" spans="1:17" ht="20.100000000000001" customHeight="1" x14ac:dyDescent="0.4">
      <c r="A6" s="63">
        <v>32</v>
      </c>
      <c r="B6" s="47" t="s">
        <v>41</v>
      </c>
      <c r="C6" s="49" t="s">
        <v>42</v>
      </c>
      <c r="D6" s="53" t="s">
        <v>38</v>
      </c>
      <c r="E6" s="54" t="s">
        <v>38</v>
      </c>
      <c r="F6" s="54" t="s">
        <v>38</v>
      </c>
      <c r="G6" s="54" t="s">
        <v>38</v>
      </c>
      <c r="H6" s="54" t="s">
        <v>38</v>
      </c>
      <c r="I6" s="54" t="s">
        <v>38</v>
      </c>
      <c r="J6" s="54" t="s">
        <v>38</v>
      </c>
      <c r="K6" s="54" t="s">
        <v>38</v>
      </c>
      <c r="L6" s="78" t="s">
        <v>38</v>
      </c>
      <c r="M6" s="54"/>
      <c r="N6" s="54"/>
      <c r="O6" s="54"/>
      <c r="P6" s="105"/>
      <c r="Q6" s="83">
        <v>40</v>
      </c>
    </row>
    <row r="7" spans="1:17" ht="20.100000000000001" customHeight="1" x14ac:dyDescent="0.4">
      <c r="A7" s="63">
        <v>36</v>
      </c>
      <c r="B7" s="47" t="s">
        <v>43</v>
      </c>
      <c r="C7" s="49" t="s">
        <v>44</v>
      </c>
      <c r="D7" s="53" t="s">
        <v>38</v>
      </c>
      <c r="E7" s="54" t="s">
        <v>38</v>
      </c>
      <c r="F7" s="54" t="s">
        <v>38</v>
      </c>
      <c r="G7" s="54" t="s">
        <v>38</v>
      </c>
      <c r="H7" s="54" t="s">
        <v>38</v>
      </c>
      <c r="I7" s="54" t="s">
        <v>38</v>
      </c>
      <c r="J7" s="54" t="s">
        <v>38</v>
      </c>
      <c r="K7" s="54" t="s">
        <v>38</v>
      </c>
      <c r="L7" s="78" t="s">
        <v>38</v>
      </c>
      <c r="M7" s="54"/>
      <c r="N7" s="54"/>
      <c r="O7" s="54"/>
      <c r="P7" s="105"/>
      <c r="Q7" s="83">
        <v>40</v>
      </c>
    </row>
    <row r="8" spans="1:17" ht="20.100000000000001" customHeight="1" x14ac:dyDescent="0.4">
      <c r="A8" s="64">
        <v>41</v>
      </c>
      <c r="B8" s="60" t="s">
        <v>45</v>
      </c>
      <c r="C8" s="61" t="s">
        <v>46</v>
      </c>
      <c r="D8" s="55" t="s">
        <v>38</v>
      </c>
      <c r="E8" s="56" t="s">
        <v>38</v>
      </c>
      <c r="F8" s="56" t="s">
        <v>38</v>
      </c>
      <c r="G8" s="56" t="s">
        <v>38</v>
      </c>
      <c r="H8" s="56" t="s">
        <v>38</v>
      </c>
      <c r="I8" s="56" t="s">
        <v>38</v>
      </c>
      <c r="J8" s="56" t="s">
        <v>38</v>
      </c>
      <c r="K8" s="56" t="s">
        <v>38</v>
      </c>
      <c r="L8" s="79" t="s">
        <v>38</v>
      </c>
      <c r="M8" s="56"/>
      <c r="N8" s="56"/>
      <c r="O8" s="56"/>
      <c r="P8" s="106"/>
      <c r="Q8" s="109">
        <v>40</v>
      </c>
    </row>
    <row r="9" spans="1:17" ht="20.100000000000001" customHeight="1" x14ac:dyDescent="0.4">
      <c r="A9" s="65">
        <v>43</v>
      </c>
      <c r="B9" s="66" t="s">
        <v>47</v>
      </c>
      <c r="C9" s="67" t="s">
        <v>48</v>
      </c>
      <c r="D9" s="68" t="s">
        <v>38</v>
      </c>
      <c r="E9" s="69" t="s">
        <v>38</v>
      </c>
      <c r="F9" s="69" t="s">
        <v>38</v>
      </c>
      <c r="G9" s="69" t="s">
        <v>38</v>
      </c>
      <c r="H9" s="69" t="s">
        <v>38</v>
      </c>
      <c r="I9" s="69" t="s">
        <v>38</v>
      </c>
      <c r="J9" s="69" t="s">
        <v>38</v>
      </c>
      <c r="K9" s="69" t="s">
        <v>38</v>
      </c>
      <c r="L9" s="80" t="s">
        <v>38</v>
      </c>
      <c r="M9" s="69"/>
      <c r="N9" s="69"/>
      <c r="O9" s="69"/>
      <c r="P9" s="110"/>
      <c r="Q9" s="111">
        <v>40</v>
      </c>
    </row>
    <row r="10" spans="1:17" ht="20.100000000000001" customHeight="1" x14ac:dyDescent="0.4">
      <c r="A10" s="70">
        <v>90</v>
      </c>
      <c r="B10" s="58" t="s">
        <v>49</v>
      </c>
      <c r="C10" s="59" t="s">
        <v>50</v>
      </c>
      <c r="D10" s="71" t="s">
        <v>38</v>
      </c>
      <c r="E10" s="72" t="s">
        <v>38</v>
      </c>
      <c r="F10" s="72" t="s">
        <v>38</v>
      </c>
      <c r="G10" s="72" t="s">
        <v>38</v>
      </c>
      <c r="H10" s="72" t="s">
        <v>38</v>
      </c>
      <c r="I10" s="72" t="s">
        <v>38</v>
      </c>
      <c r="J10" s="72" t="s">
        <v>38</v>
      </c>
      <c r="K10" s="72" t="s">
        <v>38</v>
      </c>
      <c r="L10" s="81" t="s">
        <v>38</v>
      </c>
      <c r="M10" s="72"/>
      <c r="N10" s="72"/>
      <c r="O10" s="72"/>
      <c r="P10" s="108"/>
      <c r="Q10" s="112">
        <v>40</v>
      </c>
    </row>
    <row r="11" spans="1:17" ht="20.100000000000001" customHeight="1" x14ac:dyDescent="0.4">
      <c r="A11" s="63">
        <v>54</v>
      </c>
      <c r="B11" s="47" t="s">
        <v>51</v>
      </c>
      <c r="C11" s="49" t="s">
        <v>52</v>
      </c>
      <c r="D11" s="53" t="s">
        <v>38</v>
      </c>
      <c r="E11" s="54" t="s">
        <v>38</v>
      </c>
      <c r="F11" s="54" t="s">
        <v>38</v>
      </c>
      <c r="G11" s="54" t="s">
        <v>38</v>
      </c>
      <c r="H11" s="54" t="s">
        <v>38</v>
      </c>
      <c r="I11" s="54" t="s">
        <v>38</v>
      </c>
      <c r="J11" s="54" t="s">
        <v>38</v>
      </c>
      <c r="K11" s="54" t="s">
        <v>38</v>
      </c>
      <c r="L11" s="78" t="s">
        <v>38</v>
      </c>
      <c r="M11" s="54"/>
      <c r="N11" s="54"/>
      <c r="O11" s="54"/>
      <c r="P11" s="105"/>
      <c r="Q11" s="83">
        <v>35</v>
      </c>
    </row>
    <row r="12" spans="1:17" ht="20.100000000000001" customHeight="1" x14ac:dyDescent="0.4">
      <c r="A12" s="63">
        <v>56</v>
      </c>
      <c r="B12" s="47" t="s">
        <v>53</v>
      </c>
      <c r="C12" s="49" t="s">
        <v>54</v>
      </c>
      <c r="D12" s="53" t="s">
        <v>38</v>
      </c>
      <c r="E12" s="54" t="s">
        <v>38</v>
      </c>
      <c r="F12" s="54" t="s">
        <v>38</v>
      </c>
      <c r="G12" s="54" t="s">
        <v>38</v>
      </c>
      <c r="H12" s="54" t="s">
        <v>38</v>
      </c>
      <c r="I12" s="54" t="s">
        <v>38</v>
      </c>
      <c r="J12" s="54" t="s">
        <v>38</v>
      </c>
      <c r="K12" s="54" t="s">
        <v>38</v>
      </c>
      <c r="L12" s="78" t="s">
        <v>38</v>
      </c>
      <c r="M12" s="54"/>
      <c r="N12" s="54"/>
      <c r="O12" s="54"/>
      <c r="P12" s="105"/>
      <c r="Q12" s="83">
        <v>35</v>
      </c>
    </row>
    <row r="13" spans="1:17" ht="20.100000000000001" customHeight="1" x14ac:dyDescent="0.4">
      <c r="A13" s="64">
        <v>62</v>
      </c>
      <c r="B13" s="60" t="s">
        <v>55</v>
      </c>
      <c r="C13" s="61" t="s">
        <v>56</v>
      </c>
      <c r="D13" s="55" t="s">
        <v>38</v>
      </c>
      <c r="E13" s="56" t="s">
        <v>38</v>
      </c>
      <c r="F13" s="56" t="s">
        <v>38</v>
      </c>
      <c r="G13" s="56" t="s">
        <v>38</v>
      </c>
      <c r="H13" s="56" t="s">
        <v>38</v>
      </c>
      <c r="I13" s="56" t="s">
        <v>38</v>
      </c>
      <c r="J13" s="56" t="s">
        <v>38</v>
      </c>
      <c r="K13" s="56" t="s">
        <v>38</v>
      </c>
      <c r="L13" s="79" t="s">
        <v>38</v>
      </c>
      <c r="M13" s="56"/>
      <c r="N13" s="56"/>
      <c r="O13" s="56"/>
      <c r="P13" s="106"/>
      <c r="Q13" s="109">
        <v>30</v>
      </c>
    </row>
    <row r="14" spans="1:17" ht="20.100000000000001" customHeight="1" x14ac:dyDescent="0.4">
      <c r="A14" s="65">
        <v>66</v>
      </c>
      <c r="B14" s="66" t="s">
        <v>57</v>
      </c>
      <c r="C14" s="67" t="s">
        <v>58</v>
      </c>
      <c r="D14" s="68" t="s">
        <v>38</v>
      </c>
      <c r="E14" s="69" t="s">
        <v>38</v>
      </c>
      <c r="F14" s="69" t="s">
        <v>38</v>
      </c>
      <c r="G14" s="69" t="s">
        <v>38</v>
      </c>
      <c r="H14" s="69" t="s">
        <v>38</v>
      </c>
      <c r="I14" s="69" t="s">
        <v>38</v>
      </c>
      <c r="J14" s="69" t="s">
        <v>38</v>
      </c>
      <c r="K14" s="69" t="s">
        <v>38</v>
      </c>
      <c r="L14" s="80" t="s">
        <v>38</v>
      </c>
      <c r="M14" s="69"/>
      <c r="N14" s="69"/>
      <c r="O14" s="69"/>
      <c r="P14" s="110"/>
      <c r="Q14" s="111">
        <v>30</v>
      </c>
    </row>
    <row r="15" spans="1:17" ht="20.100000000000001" customHeight="1" x14ac:dyDescent="0.4">
      <c r="A15" s="70">
        <v>8</v>
      </c>
      <c r="B15" s="58" t="s">
        <v>59</v>
      </c>
      <c r="C15" s="59" t="s">
        <v>60</v>
      </c>
      <c r="D15" s="71" t="s">
        <v>61</v>
      </c>
      <c r="E15" s="72" t="s">
        <v>61</v>
      </c>
      <c r="F15" s="72" t="s">
        <v>61</v>
      </c>
      <c r="G15" s="72" t="s">
        <v>61</v>
      </c>
      <c r="H15" s="72" t="s">
        <v>61</v>
      </c>
      <c r="I15" s="72" t="s">
        <v>61</v>
      </c>
      <c r="J15" s="72" t="s">
        <v>61</v>
      </c>
      <c r="K15" s="72" t="s">
        <v>61</v>
      </c>
      <c r="L15" s="81" t="s">
        <v>61</v>
      </c>
      <c r="M15" s="72"/>
      <c r="N15" s="72"/>
      <c r="O15" s="72"/>
      <c r="P15" s="108"/>
      <c r="Q15" s="112">
        <v>40</v>
      </c>
    </row>
    <row r="16" spans="1:17" ht="20.100000000000001" customHeight="1" x14ac:dyDescent="0.4">
      <c r="A16" s="63">
        <v>14</v>
      </c>
      <c r="B16" s="47" t="s">
        <v>136</v>
      </c>
      <c r="C16" s="49" t="s">
        <v>137</v>
      </c>
      <c r="D16" s="53" t="s">
        <v>61</v>
      </c>
      <c r="E16" s="54" t="s">
        <v>61</v>
      </c>
      <c r="F16" s="54" t="s">
        <v>61</v>
      </c>
      <c r="G16" s="54" t="s">
        <v>61</v>
      </c>
      <c r="H16" s="54" t="s">
        <v>61</v>
      </c>
      <c r="I16" s="54" t="s">
        <v>61</v>
      </c>
      <c r="J16" s="54" t="s">
        <v>61</v>
      </c>
      <c r="K16" s="54" t="s">
        <v>61</v>
      </c>
      <c r="L16" s="78" t="s">
        <v>61</v>
      </c>
      <c r="M16" s="54"/>
      <c r="N16" s="54"/>
      <c r="O16" s="54"/>
      <c r="P16" s="105"/>
      <c r="Q16" s="83">
        <v>40</v>
      </c>
    </row>
    <row r="17" spans="1:17" ht="20.100000000000001" customHeight="1" x14ac:dyDescent="0.4">
      <c r="A17" s="63">
        <v>34</v>
      </c>
      <c r="B17" s="47" t="s">
        <v>150</v>
      </c>
      <c r="C17" s="49" t="s">
        <v>151</v>
      </c>
      <c r="D17" s="53" t="s">
        <v>61</v>
      </c>
      <c r="E17" s="54" t="s">
        <v>61</v>
      </c>
      <c r="F17" s="54" t="s">
        <v>61</v>
      </c>
      <c r="G17" s="54" t="s">
        <v>61</v>
      </c>
      <c r="H17" s="54" t="s">
        <v>61</v>
      </c>
      <c r="I17" s="54" t="s">
        <v>61</v>
      </c>
      <c r="J17" s="54" t="s">
        <v>61</v>
      </c>
      <c r="K17" s="54" t="s">
        <v>61</v>
      </c>
      <c r="L17" s="78" t="s">
        <v>61</v>
      </c>
      <c r="M17" s="54"/>
      <c r="N17" s="54"/>
      <c r="O17" s="54"/>
      <c r="P17" s="105"/>
      <c r="Q17" s="83">
        <v>40</v>
      </c>
    </row>
    <row r="18" spans="1:17" ht="20.100000000000001" customHeight="1" x14ac:dyDescent="0.4">
      <c r="A18" s="64">
        <v>39</v>
      </c>
      <c r="B18" s="60" t="s">
        <v>156</v>
      </c>
      <c r="C18" s="61" t="s">
        <v>157</v>
      </c>
      <c r="D18" s="55" t="s">
        <v>61</v>
      </c>
      <c r="E18" s="56" t="s">
        <v>61</v>
      </c>
      <c r="F18" s="56" t="s">
        <v>61</v>
      </c>
      <c r="G18" s="56" t="s">
        <v>61</v>
      </c>
      <c r="H18" s="56" t="s">
        <v>61</v>
      </c>
      <c r="I18" s="56" t="s">
        <v>61</v>
      </c>
      <c r="J18" s="56" t="s">
        <v>61</v>
      </c>
      <c r="K18" s="56" t="s">
        <v>61</v>
      </c>
      <c r="L18" s="79" t="s">
        <v>61</v>
      </c>
      <c r="M18" s="56"/>
      <c r="N18" s="56"/>
      <c r="O18" s="56"/>
      <c r="P18" s="106"/>
      <c r="Q18" s="109">
        <v>40</v>
      </c>
    </row>
    <row r="19" spans="1:17" ht="20.100000000000001" customHeight="1" x14ac:dyDescent="0.4">
      <c r="A19" s="65">
        <v>50</v>
      </c>
      <c r="B19" s="66" t="s">
        <v>168</v>
      </c>
      <c r="C19" s="67" t="s">
        <v>169</v>
      </c>
      <c r="D19" s="68" t="s">
        <v>61</v>
      </c>
      <c r="E19" s="69" t="s">
        <v>61</v>
      </c>
      <c r="F19" s="69" t="s">
        <v>61</v>
      </c>
      <c r="G19" s="69" t="s">
        <v>61</v>
      </c>
      <c r="H19" s="69" t="s">
        <v>61</v>
      </c>
      <c r="I19" s="69" t="s">
        <v>61</v>
      </c>
      <c r="J19" s="69" t="s">
        <v>61</v>
      </c>
      <c r="K19" s="69" t="s">
        <v>61</v>
      </c>
      <c r="L19" s="80" t="s">
        <v>61</v>
      </c>
      <c r="M19" s="69"/>
      <c r="N19" s="69"/>
      <c r="O19" s="69"/>
      <c r="P19" s="110"/>
      <c r="Q19" s="111">
        <v>40</v>
      </c>
    </row>
    <row r="20" spans="1:17" ht="20.100000000000001" customHeight="1" x14ac:dyDescent="0.4">
      <c r="A20" s="70">
        <v>60</v>
      </c>
      <c r="B20" s="58" t="s">
        <v>174</v>
      </c>
      <c r="C20" s="59" t="s">
        <v>175</v>
      </c>
      <c r="D20" s="71" t="s">
        <v>61</v>
      </c>
      <c r="E20" s="72" t="s">
        <v>61</v>
      </c>
      <c r="F20" s="72" t="s">
        <v>61</v>
      </c>
      <c r="G20" s="72" t="s">
        <v>61</v>
      </c>
      <c r="H20" s="72" t="s">
        <v>61</v>
      </c>
      <c r="I20" s="72" t="s">
        <v>61</v>
      </c>
      <c r="J20" s="72" t="s">
        <v>61</v>
      </c>
      <c r="K20" s="72" t="s">
        <v>61</v>
      </c>
      <c r="L20" s="81" t="s">
        <v>61</v>
      </c>
      <c r="M20" s="72"/>
      <c r="N20" s="72"/>
      <c r="O20" s="72"/>
      <c r="P20" s="108"/>
      <c r="Q20" s="112">
        <v>35</v>
      </c>
    </row>
    <row r="21" spans="1:17" ht="20.100000000000001" customHeight="1" x14ac:dyDescent="0.4">
      <c r="A21" s="63">
        <v>68</v>
      </c>
      <c r="B21" s="47" t="s">
        <v>180</v>
      </c>
      <c r="C21" s="49" t="s">
        <v>181</v>
      </c>
      <c r="D21" s="53" t="s">
        <v>61</v>
      </c>
      <c r="E21" s="54" t="s">
        <v>61</v>
      </c>
      <c r="F21" s="54" t="s">
        <v>61</v>
      </c>
      <c r="G21" s="54" t="s">
        <v>61</v>
      </c>
      <c r="H21" s="54" t="s">
        <v>61</v>
      </c>
      <c r="I21" s="54" t="s">
        <v>61</v>
      </c>
      <c r="J21" s="54" t="s">
        <v>61</v>
      </c>
      <c r="K21" s="54" t="s">
        <v>61</v>
      </c>
      <c r="L21" s="78" t="s">
        <v>61</v>
      </c>
      <c r="M21" s="54"/>
      <c r="N21" s="54"/>
      <c r="O21" s="54"/>
      <c r="P21" s="105"/>
      <c r="Q21" s="83">
        <v>30</v>
      </c>
    </row>
    <row r="22" spans="1:17" ht="20.100000000000001" customHeight="1" x14ac:dyDescent="0.4">
      <c r="A22" s="63">
        <v>75</v>
      </c>
      <c r="B22" s="47" t="s">
        <v>182</v>
      </c>
      <c r="C22" s="49" t="s">
        <v>183</v>
      </c>
      <c r="D22" s="53" t="s">
        <v>61</v>
      </c>
      <c r="E22" s="54" t="s">
        <v>61</v>
      </c>
      <c r="F22" s="54" t="s">
        <v>61</v>
      </c>
      <c r="G22" s="54" t="s">
        <v>61</v>
      </c>
      <c r="H22" s="54" t="s">
        <v>61</v>
      </c>
      <c r="I22" s="54" t="s">
        <v>61</v>
      </c>
      <c r="J22" s="54" t="s">
        <v>61</v>
      </c>
      <c r="K22" s="54" t="s">
        <v>61</v>
      </c>
      <c r="L22" s="78" t="s">
        <v>61</v>
      </c>
      <c r="M22" s="54"/>
      <c r="N22" s="54"/>
      <c r="O22" s="54"/>
      <c r="P22" s="105"/>
      <c r="Q22" s="83">
        <v>25</v>
      </c>
    </row>
    <row r="23" spans="1:17" ht="20.100000000000001" customHeight="1" x14ac:dyDescent="0.4">
      <c r="A23" s="64">
        <v>76</v>
      </c>
      <c r="B23" s="60" t="s">
        <v>184</v>
      </c>
      <c r="C23" s="61" t="s">
        <v>185</v>
      </c>
      <c r="D23" s="55" t="s">
        <v>61</v>
      </c>
      <c r="E23" s="56" t="s">
        <v>61</v>
      </c>
      <c r="F23" s="56" t="s">
        <v>61</v>
      </c>
      <c r="G23" s="56" t="s">
        <v>61</v>
      </c>
      <c r="H23" s="56" t="s">
        <v>61</v>
      </c>
      <c r="I23" s="56" t="s">
        <v>61</v>
      </c>
      <c r="J23" s="56" t="s">
        <v>61</v>
      </c>
      <c r="K23" s="56" t="s">
        <v>61</v>
      </c>
      <c r="L23" s="79" t="s">
        <v>61</v>
      </c>
      <c r="M23" s="56"/>
      <c r="N23" s="56"/>
      <c r="O23" s="56"/>
      <c r="P23" s="106"/>
      <c r="Q23" s="109">
        <v>25</v>
      </c>
    </row>
    <row r="24" spans="1:17" ht="20.100000000000001" customHeight="1" x14ac:dyDescent="0.4">
      <c r="A24" s="65">
        <v>81</v>
      </c>
      <c r="B24" s="66" t="s">
        <v>188</v>
      </c>
      <c r="C24" s="67" t="s">
        <v>189</v>
      </c>
      <c r="D24" s="68" t="s">
        <v>205</v>
      </c>
      <c r="E24" s="69" t="s">
        <v>205</v>
      </c>
      <c r="F24" s="69" t="s">
        <v>205</v>
      </c>
      <c r="G24" s="69" t="s">
        <v>205</v>
      </c>
      <c r="H24" s="69" t="s">
        <v>205</v>
      </c>
      <c r="I24" s="69" t="s">
        <v>205</v>
      </c>
      <c r="J24" s="69" t="s">
        <v>61</v>
      </c>
      <c r="K24" s="69" t="s">
        <v>61</v>
      </c>
      <c r="L24" s="80" t="s">
        <v>61</v>
      </c>
      <c r="M24" s="69"/>
      <c r="N24" s="69"/>
      <c r="O24" s="69"/>
      <c r="P24" s="110"/>
      <c r="Q24" s="111">
        <v>23</v>
      </c>
    </row>
    <row r="25" spans="1:17" ht="20.100000000000001" customHeight="1" x14ac:dyDescent="0.4">
      <c r="A25" s="70">
        <v>92</v>
      </c>
      <c r="B25" s="58" t="s">
        <v>192</v>
      </c>
      <c r="C25" s="59" t="s">
        <v>193</v>
      </c>
      <c r="D25" s="71" t="s">
        <v>61</v>
      </c>
      <c r="E25" s="72" t="s">
        <v>61</v>
      </c>
      <c r="F25" s="72" t="s">
        <v>61</v>
      </c>
      <c r="G25" s="72" t="s">
        <v>61</v>
      </c>
      <c r="H25" s="72" t="s">
        <v>61</v>
      </c>
      <c r="I25" s="72" t="s">
        <v>61</v>
      </c>
      <c r="J25" s="72" t="s">
        <v>61</v>
      </c>
      <c r="K25" s="72" t="s">
        <v>61</v>
      </c>
      <c r="L25" s="81" t="s">
        <v>61</v>
      </c>
      <c r="M25" s="72"/>
      <c r="N25" s="72"/>
      <c r="O25" s="72"/>
      <c r="P25" s="108"/>
      <c r="Q25" s="112">
        <v>10</v>
      </c>
    </row>
    <row r="26" spans="1:17" ht="20.100000000000001" customHeight="1" x14ac:dyDescent="0.4">
      <c r="A26" s="63">
        <v>2</v>
      </c>
      <c r="B26" s="47" t="s">
        <v>196</v>
      </c>
      <c r="C26" s="49" t="s">
        <v>197</v>
      </c>
      <c r="D26" s="53" t="s">
        <v>203</v>
      </c>
      <c r="E26" s="54" t="s">
        <v>203</v>
      </c>
      <c r="F26" s="54" t="s">
        <v>203</v>
      </c>
      <c r="G26" s="54" t="s">
        <v>203</v>
      </c>
      <c r="H26" s="54" t="s">
        <v>203</v>
      </c>
      <c r="I26" s="54" t="s">
        <v>203</v>
      </c>
      <c r="J26" s="54" t="s">
        <v>61</v>
      </c>
      <c r="K26" s="54" t="s">
        <v>61</v>
      </c>
      <c r="L26" s="78" t="s">
        <v>61</v>
      </c>
      <c r="M26" s="54"/>
      <c r="N26" s="54"/>
      <c r="O26" s="54"/>
      <c r="P26" s="105"/>
      <c r="Q26" s="83">
        <v>5</v>
      </c>
    </row>
    <row r="27" spans="1:17" ht="20.100000000000001" customHeight="1" x14ac:dyDescent="0.4">
      <c r="A27" s="63">
        <v>97</v>
      </c>
      <c r="B27" s="47" t="s">
        <v>117</v>
      </c>
      <c r="C27" s="49" t="s">
        <v>118</v>
      </c>
      <c r="D27" s="53" t="s">
        <v>203</v>
      </c>
      <c r="E27" s="54" t="s">
        <v>203</v>
      </c>
      <c r="F27" s="54" t="s">
        <v>204</v>
      </c>
      <c r="G27" s="54" t="s">
        <v>204</v>
      </c>
      <c r="H27" s="54" t="s">
        <v>204</v>
      </c>
      <c r="I27" s="54" t="s">
        <v>204</v>
      </c>
      <c r="J27" s="54" t="s">
        <v>204</v>
      </c>
      <c r="K27" s="54" t="s">
        <v>204</v>
      </c>
      <c r="L27" s="78" t="s">
        <v>204</v>
      </c>
      <c r="M27" s="54"/>
      <c r="N27" s="54"/>
      <c r="O27" s="54"/>
      <c r="P27" s="105"/>
      <c r="Q27" s="83">
        <v>40</v>
      </c>
    </row>
    <row r="28" spans="1:17" ht="20.100000000000001" customHeight="1" x14ac:dyDescent="0.4">
      <c r="A28" s="64">
        <v>10</v>
      </c>
      <c r="B28" s="60" t="s">
        <v>130</v>
      </c>
      <c r="C28" s="61" t="s">
        <v>131</v>
      </c>
      <c r="D28" s="55" t="s">
        <v>204</v>
      </c>
      <c r="E28" s="56" t="s">
        <v>204</v>
      </c>
      <c r="F28" s="56" t="s">
        <v>204</v>
      </c>
      <c r="G28" s="56" t="s">
        <v>204</v>
      </c>
      <c r="H28" s="56" t="s">
        <v>204</v>
      </c>
      <c r="I28" s="56" t="s">
        <v>204</v>
      </c>
      <c r="J28" s="56" t="s">
        <v>204</v>
      </c>
      <c r="K28" s="56" t="s">
        <v>204</v>
      </c>
      <c r="L28" s="79" t="s">
        <v>204</v>
      </c>
      <c r="M28" s="56"/>
      <c r="N28" s="56"/>
      <c r="O28" s="56"/>
      <c r="P28" s="106"/>
      <c r="Q28" s="109">
        <v>40</v>
      </c>
    </row>
    <row r="29" spans="1:17" ht="20.100000000000001" customHeight="1" x14ac:dyDescent="0.4">
      <c r="A29" s="65">
        <v>89</v>
      </c>
      <c r="B29" s="66" t="s">
        <v>142</v>
      </c>
      <c r="C29" s="67" t="s">
        <v>143</v>
      </c>
      <c r="D29" s="68" t="s">
        <v>204</v>
      </c>
      <c r="E29" s="69" t="s">
        <v>204</v>
      </c>
      <c r="F29" s="69" t="s">
        <v>204</v>
      </c>
      <c r="G29" s="69" t="s">
        <v>204</v>
      </c>
      <c r="H29" s="69" t="s">
        <v>204</v>
      </c>
      <c r="I29" s="69" t="s">
        <v>204</v>
      </c>
      <c r="J29" s="69" t="s">
        <v>204</v>
      </c>
      <c r="K29" s="69" t="s">
        <v>204</v>
      </c>
      <c r="L29" s="80" t="s">
        <v>204</v>
      </c>
      <c r="M29" s="69"/>
      <c r="N29" s="69"/>
      <c r="O29" s="69"/>
      <c r="P29" s="110"/>
      <c r="Q29" s="111">
        <v>40</v>
      </c>
    </row>
    <row r="30" spans="1:17" ht="20.100000000000001" customHeight="1" x14ac:dyDescent="0.4">
      <c r="A30" s="70">
        <v>27</v>
      </c>
      <c r="B30" s="58" t="s">
        <v>146</v>
      </c>
      <c r="C30" s="59" t="s">
        <v>147</v>
      </c>
      <c r="D30" s="71" t="s">
        <v>204</v>
      </c>
      <c r="E30" s="72" t="s">
        <v>204</v>
      </c>
      <c r="F30" s="72" t="s">
        <v>204</v>
      </c>
      <c r="G30" s="72" t="s">
        <v>204</v>
      </c>
      <c r="H30" s="72" t="s">
        <v>204</v>
      </c>
      <c r="I30" s="72" t="s">
        <v>204</v>
      </c>
      <c r="J30" s="72" t="s">
        <v>204</v>
      </c>
      <c r="K30" s="72" t="s">
        <v>204</v>
      </c>
      <c r="L30" s="81" t="s">
        <v>204</v>
      </c>
      <c r="M30" s="72"/>
      <c r="N30" s="72"/>
      <c r="O30" s="72"/>
      <c r="P30" s="108"/>
      <c r="Q30" s="112">
        <v>40</v>
      </c>
    </row>
    <row r="31" spans="1:17" ht="20.100000000000001" customHeight="1" x14ac:dyDescent="0.4">
      <c r="A31" s="63">
        <v>38</v>
      </c>
      <c r="B31" s="47" t="s">
        <v>154</v>
      </c>
      <c r="C31" s="49" t="s">
        <v>155</v>
      </c>
      <c r="D31" s="53" t="s">
        <v>204</v>
      </c>
      <c r="E31" s="54" t="s">
        <v>204</v>
      </c>
      <c r="F31" s="54" t="s">
        <v>204</v>
      </c>
      <c r="G31" s="54" t="s">
        <v>204</v>
      </c>
      <c r="H31" s="54" t="s">
        <v>204</v>
      </c>
      <c r="I31" s="54" t="s">
        <v>204</v>
      </c>
      <c r="J31" s="54" t="s">
        <v>204</v>
      </c>
      <c r="K31" s="54" t="s">
        <v>204</v>
      </c>
      <c r="L31" s="78" t="s">
        <v>204</v>
      </c>
      <c r="M31" s="54"/>
      <c r="N31" s="54"/>
      <c r="O31" s="54"/>
      <c r="P31" s="105"/>
      <c r="Q31" s="83">
        <v>40</v>
      </c>
    </row>
    <row r="32" spans="1:17" ht="20.100000000000001" customHeight="1" x14ac:dyDescent="0.4">
      <c r="A32" s="63">
        <v>17</v>
      </c>
      <c r="B32" s="47" t="s">
        <v>140</v>
      </c>
      <c r="C32" s="49" t="s">
        <v>141</v>
      </c>
      <c r="D32" s="53" t="s">
        <v>203</v>
      </c>
      <c r="E32" s="54" t="s">
        <v>203</v>
      </c>
      <c r="F32" s="54" t="s">
        <v>203</v>
      </c>
      <c r="G32" s="54" t="s">
        <v>203</v>
      </c>
      <c r="H32" s="54" t="s">
        <v>203</v>
      </c>
      <c r="I32" s="54" t="s">
        <v>203</v>
      </c>
      <c r="J32" s="54" t="s">
        <v>203</v>
      </c>
      <c r="K32" s="54" t="s">
        <v>203</v>
      </c>
      <c r="L32" s="78" t="s">
        <v>203</v>
      </c>
      <c r="M32" s="54"/>
      <c r="N32" s="54"/>
      <c r="O32" s="54"/>
      <c r="P32" s="105"/>
      <c r="Q32" s="83">
        <v>40</v>
      </c>
    </row>
    <row r="33" spans="1:17" ht="20.100000000000001" customHeight="1" x14ac:dyDescent="0.4">
      <c r="A33" s="64">
        <v>45</v>
      </c>
      <c r="B33" s="60" t="s">
        <v>164</v>
      </c>
      <c r="C33" s="61" t="s">
        <v>165</v>
      </c>
      <c r="D33" s="55" t="s">
        <v>203</v>
      </c>
      <c r="E33" s="56" t="s">
        <v>203</v>
      </c>
      <c r="F33" s="56" t="s">
        <v>203</v>
      </c>
      <c r="G33" s="56" t="s">
        <v>203</v>
      </c>
      <c r="H33" s="56" t="s">
        <v>203</v>
      </c>
      <c r="I33" s="56" t="s">
        <v>203</v>
      </c>
      <c r="J33" s="56" t="s">
        <v>203</v>
      </c>
      <c r="K33" s="56" t="s">
        <v>203</v>
      </c>
      <c r="L33" s="79" t="s">
        <v>203</v>
      </c>
      <c r="M33" s="56"/>
      <c r="N33" s="56"/>
      <c r="O33" s="56"/>
      <c r="P33" s="106"/>
      <c r="Q33" s="109">
        <v>40</v>
      </c>
    </row>
    <row r="34" spans="1:17" ht="20.100000000000001" customHeight="1" x14ac:dyDescent="0.4">
      <c r="A34" s="65">
        <v>46</v>
      </c>
      <c r="B34" s="66" t="s">
        <v>166</v>
      </c>
      <c r="C34" s="67" t="s">
        <v>167</v>
      </c>
      <c r="D34" s="68" t="s">
        <v>203</v>
      </c>
      <c r="E34" s="69" t="s">
        <v>203</v>
      </c>
      <c r="F34" s="69" t="s">
        <v>203</v>
      </c>
      <c r="G34" s="69" t="s">
        <v>203</v>
      </c>
      <c r="H34" s="69" t="s">
        <v>203</v>
      </c>
      <c r="I34" s="69" t="s">
        <v>203</v>
      </c>
      <c r="J34" s="69" t="s">
        <v>203</v>
      </c>
      <c r="K34" s="69" t="s">
        <v>203</v>
      </c>
      <c r="L34" s="80" t="s">
        <v>203</v>
      </c>
      <c r="M34" s="69"/>
      <c r="N34" s="69"/>
      <c r="O34" s="69"/>
      <c r="P34" s="110"/>
      <c r="Q34" s="111">
        <v>40</v>
      </c>
    </row>
    <row r="35" spans="1:17" ht="20.100000000000001" customHeight="1" x14ac:dyDescent="0.4">
      <c r="A35" s="70">
        <v>73</v>
      </c>
      <c r="B35" s="58" t="s">
        <v>172</v>
      </c>
      <c r="C35" s="59" t="s">
        <v>173</v>
      </c>
      <c r="D35" s="71" t="s">
        <v>206</v>
      </c>
      <c r="E35" s="72" t="s">
        <v>206</v>
      </c>
      <c r="F35" s="72" t="s">
        <v>206</v>
      </c>
      <c r="G35" s="72" t="s">
        <v>206</v>
      </c>
      <c r="H35" s="72" t="s">
        <v>206</v>
      </c>
      <c r="I35" s="72" t="s">
        <v>206</v>
      </c>
      <c r="J35" s="72" t="s">
        <v>203</v>
      </c>
      <c r="K35" s="72" t="s">
        <v>203</v>
      </c>
      <c r="L35" s="81" t="s">
        <v>203</v>
      </c>
      <c r="M35" s="72"/>
      <c r="N35" s="72"/>
      <c r="O35" s="72"/>
      <c r="P35" s="108"/>
      <c r="Q35" s="112">
        <v>40</v>
      </c>
    </row>
    <row r="36" spans="1:17" ht="20.100000000000001" customHeight="1" x14ac:dyDescent="0.4">
      <c r="A36" s="63">
        <v>67</v>
      </c>
      <c r="B36" s="47" t="s">
        <v>178</v>
      </c>
      <c r="C36" s="49" t="s">
        <v>179</v>
      </c>
      <c r="D36" s="53" t="s">
        <v>204</v>
      </c>
      <c r="E36" s="54" t="s">
        <v>204</v>
      </c>
      <c r="F36" s="54" t="s">
        <v>203</v>
      </c>
      <c r="G36" s="54" t="s">
        <v>203</v>
      </c>
      <c r="H36" s="54" t="s">
        <v>203</v>
      </c>
      <c r="I36" s="54" t="s">
        <v>203</v>
      </c>
      <c r="J36" s="54" t="s">
        <v>203</v>
      </c>
      <c r="K36" s="54" t="s">
        <v>203</v>
      </c>
      <c r="L36" s="78" t="s">
        <v>203</v>
      </c>
      <c r="M36" s="54"/>
      <c r="N36" s="54"/>
      <c r="O36" s="54"/>
      <c r="P36" s="105"/>
      <c r="Q36" s="83">
        <v>3</v>
      </c>
    </row>
    <row r="37" spans="1:17" ht="20.100000000000001" customHeight="1" x14ac:dyDescent="0.4">
      <c r="A37" s="63">
        <v>93</v>
      </c>
      <c r="B37" s="47" t="s">
        <v>115</v>
      </c>
      <c r="C37" s="49" t="s">
        <v>116</v>
      </c>
      <c r="D37" s="53" t="s">
        <v>102</v>
      </c>
      <c r="E37" s="54" t="s">
        <v>102</v>
      </c>
      <c r="F37" s="54" t="s">
        <v>64</v>
      </c>
      <c r="G37" s="54" t="s">
        <v>19</v>
      </c>
      <c r="H37" s="54" t="s">
        <v>64</v>
      </c>
      <c r="I37" s="54" t="s">
        <v>102</v>
      </c>
      <c r="J37" s="54" t="s">
        <v>203</v>
      </c>
      <c r="K37" s="54" t="s">
        <v>203</v>
      </c>
      <c r="L37" s="78" t="s">
        <v>203</v>
      </c>
      <c r="M37" s="54"/>
      <c r="N37" s="54"/>
      <c r="O37" s="54"/>
      <c r="P37" s="105"/>
      <c r="Q37" s="83">
        <v>10</v>
      </c>
    </row>
    <row r="38" spans="1:17" ht="20.100000000000001" customHeight="1" x14ac:dyDescent="0.4">
      <c r="A38" s="64">
        <v>12</v>
      </c>
      <c r="B38" s="60" t="s">
        <v>132</v>
      </c>
      <c r="C38" s="61" t="s">
        <v>133</v>
      </c>
      <c r="D38" s="55" t="s">
        <v>206</v>
      </c>
      <c r="E38" s="56" t="s">
        <v>206</v>
      </c>
      <c r="F38" s="56" t="s">
        <v>206</v>
      </c>
      <c r="G38" s="56" t="s">
        <v>206</v>
      </c>
      <c r="H38" s="56" t="s">
        <v>206</v>
      </c>
      <c r="I38" s="56" t="s">
        <v>206</v>
      </c>
      <c r="J38" s="56" t="s">
        <v>206</v>
      </c>
      <c r="K38" s="56" t="s">
        <v>206</v>
      </c>
      <c r="L38" s="79" t="s">
        <v>206</v>
      </c>
      <c r="M38" s="56"/>
      <c r="N38" s="56"/>
      <c r="O38" s="56"/>
      <c r="P38" s="106"/>
      <c r="Q38" s="109">
        <v>40</v>
      </c>
    </row>
    <row r="39" spans="1:17" ht="20.100000000000001" customHeight="1" x14ac:dyDescent="0.4">
      <c r="A39" s="65">
        <v>13</v>
      </c>
      <c r="B39" s="66" t="s">
        <v>134</v>
      </c>
      <c r="C39" s="67" t="s">
        <v>135</v>
      </c>
      <c r="D39" s="68" t="s">
        <v>206</v>
      </c>
      <c r="E39" s="69" t="s">
        <v>206</v>
      </c>
      <c r="F39" s="69" t="s">
        <v>206</v>
      </c>
      <c r="G39" s="69" t="s">
        <v>206</v>
      </c>
      <c r="H39" s="69" t="s">
        <v>206</v>
      </c>
      <c r="I39" s="69" t="s">
        <v>206</v>
      </c>
      <c r="J39" s="69" t="s">
        <v>206</v>
      </c>
      <c r="K39" s="69" t="s">
        <v>206</v>
      </c>
      <c r="L39" s="80" t="s">
        <v>206</v>
      </c>
      <c r="M39" s="69"/>
      <c r="N39" s="69"/>
      <c r="O39" s="69"/>
      <c r="P39" s="110"/>
      <c r="Q39" s="111">
        <v>40</v>
      </c>
    </row>
    <row r="40" spans="1:17" ht="20.100000000000001" customHeight="1" x14ac:dyDescent="0.4">
      <c r="A40" s="70">
        <v>96</v>
      </c>
      <c r="B40" s="58" t="s">
        <v>148</v>
      </c>
      <c r="C40" s="59" t="s">
        <v>149</v>
      </c>
      <c r="D40" s="71" t="s">
        <v>206</v>
      </c>
      <c r="E40" s="72" t="s">
        <v>206</v>
      </c>
      <c r="F40" s="72" t="s">
        <v>206</v>
      </c>
      <c r="G40" s="72" t="s">
        <v>206</v>
      </c>
      <c r="H40" s="72" t="s">
        <v>206</v>
      </c>
      <c r="I40" s="72" t="s">
        <v>206</v>
      </c>
      <c r="J40" s="72" t="s">
        <v>206</v>
      </c>
      <c r="K40" s="72" t="s">
        <v>206</v>
      </c>
      <c r="L40" s="81" t="s">
        <v>206</v>
      </c>
      <c r="M40" s="72"/>
      <c r="N40" s="72"/>
      <c r="O40" s="72"/>
      <c r="P40" s="108"/>
      <c r="Q40" s="112">
        <v>40</v>
      </c>
    </row>
    <row r="41" spans="1:17" ht="20.100000000000001" customHeight="1" x14ac:dyDescent="0.4">
      <c r="A41" s="63">
        <v>40</v>
      </c>
      <c r="B41" s="47" t="s">
        <v>158</v>
      </c>
      <c r="C41" s="49" t="s">
        <v>159</v>
      </c>
      <c r="D41" s="53" t="s">
        <v>206</v>
      </c>
      <c r="E41" s="54" t="s">
        <v>206</v>
      </c>
      <c r="F41" s="54" t="s">
        <v>206</v>
      </c>
      <c r="G41" s="54" t="s">
        <v>206</v>
      </c>
      <c r="H41" s="54" t="s">
        <v>206</v>
      </c>
      <c r="I41" s="54" t="s">
        <v>206</v>
      </c>
      <c r="J41" s="54" t="s">
        <v>206</v>
      </c>
      <c r="K41" s="54" t="s">
        <v>206</v>
      </c>
      <c r="L41" s="78" t="s">
        <v>206</v>
      </c>
      <c r="M41" s="54"/>
      <c r="N41" s="54"/>
      <c r="O41" s="54"/>
      <c r="P41" s="105"/>
      <c r="Q41" s="83">
        <v>40</v>
      </c>
    </row>
    <row r="42" spans="1:17" ht="20.100000000000001" customHeight="1" x14ac:dyDescent="0.4">
      <c r="A42" s="63">
        <v>42</v>
      </c>
      <c r="B42" s="47" t="s">
        <v>160</v>
      </c>
      <c r="C42" s="49" t="s">
        <v>161</v>
      </c>
      <c r="D42" s="53" t="s">
        <v>206</v>
      </c>
      <c r="E42" s="54" t="s">
        <v>206</v>
      </c>
      <c r="F42" s="54" t="s">
        <v>206</v>
      </c>
      <c r="G42" s="54" t="s">
        <v>206</v>
      </c>
      <c r="H42" s="54" t="s">
        <v>206</v>
      </c>
      <c r="I42" s="54" t="s">
        <v>206</v>
      </c>
      <c r="J42" s="54" t="s">
        <v>206</v>
      </c>
      <c r="K42" s="54" t="s">
        <v>206</v>
      </c>
      <c r="L42" s="78" t="s">
        <v>206</v>
      </c>
      <c r="M42" s="54"/>
      <c r="N42" s="54"/>
      <c r="O42" s="54"/>
      <c r="P42" s="105"/>
      <c r="Q42" s="83">
        <v>40</v>
      </c>
    </row>
    <row r="43" spans="1:17" ht="20.100000000000001" customHeight="1" x14ac:dyDescent="0.4">
      <c r="A43" s="64">
        <v>98</v>
      </c>
      <c r="B43" s="60" t="s">
        <v>82</v>
      </c>
      <c r="C43" s="61" t="s">
        <v>83</v>
      </c>
      <c r="D43" s="55" t="s">
        <v>64</v>
      </c>
      <c r="E43" s="56" t="s">
        <v>102</v>
      </c>
      <c r="F43" s="56" t="s">
        <v>64</v>
      </c>
      <c r="G43" s="56" t="s">
        <v>102</v>
      </c>
      <c r="H43" s="56" t="s">
        <v>19</v>
      </c>
      <c r="I43" s="56" t="s">
        <v>19</v>
      </c>
      <c r="J43" s="56" t="s">
        <v>102</v>
      </c>
      <c r="K43" s="56" t="s">
        <v>64</v>
      </c>
      <c r="L43" s="79" t="s">
        <v>64</v>
      </c>
      <c r="M43" s="56"/>
      <c r="N43" s="56"/>
      <c r="O43" s="56"/>
      <c r="P43" s="106"/>
      <c r="Q43" s="109">
        <v>40</v>
      </c>
    </row>
    <row r="44" spans="1:17" ht="20.100000000000001" customHeight="1" x14ac:dyDescent="0.4">
      <c r="A44" s="65">
        <v>18</v>
      </c>
      <c r="B44" s="66" t="s">
        <v>103</v>
      </c>
      <c r="C44" s="67" t="s">
        <v>104</v>
      </c>
      <c r="D44" s="68" t="s">
        <v>64</v>
      </c>
      <c r="E44" s="69" t="s">
        <v>64</v>
      </c>
      <c r="F44" s="69" t="s">
        <v>64</v>
      </c>
      <c r="G44" s="69" t="s">
        <v>102</v>
      </c>
      <c r="H44" s="69" t="s">
        <v>64</v>
      </c>
      <c r="I44" s="69" t="s">
        <v>102</v>
      </c>
      <c r="J44" s="69" t="s">
        <v>64</v>
      </c>
      <c r="K44" s="69" t="s">
        <v>102</v>
      </c>
      <c r="L44" s="80" t="s">
        <v>64</v>
      </c>
      <c r="M44" s="69"/>
      <c r="N44" s="69"/>
      <c r="O44" s="69"/>
      <c r="P44" s="110"/>
      <c r="Q44" s="111">
        <v>40</v>
      </c>
    </row>
    <row r="45" spans="1:17" ht="20.100000000000001" customHeight="1" x14ac:dyDescent="0.4">
      <c r="A45" s="70">
        <v>19</v>
      </c>
      <c r="B45" s="58" t="s">
        <v>65</v>
      </c>
      <c r="C45" s="59" t="s">
        <v>66</v>
      </c>
      <c r="D45" s="71" t="s">
        <v>102</v>
      </c>
      <c r="E45" s="72" t="s">
        <v>19</v>
      </c>
      <c r="F45" s="72" t="s">
        <v>102</v>
      </c>
      <c r="G45" s="72" t="s">
        <v>102</v>
      </c>
      <c r="H45" s="72" t="s">
        <v>102</v>
      </c>
      <c r="I45" s="72" t="s">
        <v>64</v>
      </c>
      <c r="J45" s="72" t="s">
        <v>64</v>
      </c>
      <c r="K45" s="72" t="s">
        <v>19</v>
      </c>
      <c r="L45" s="81" t="s">
        <v>64</v>
      </c>
      <c r="M45" s="72"/>
      <c r="N45" s="72"/>
      <c r="O45" s="72"/>
      <c r="P45" s="108"/>
      <c r="Q45" s="112">
        <v>40</v>
      </c>
    </row>
    <row r="46" spans="1:17" ht="20.100000000000001" customHeight="1" x14ac:dyDescent="0.4">
      <c r="A46" s="63">
        <v>28</v>
      </c>
      <c r="B46" s="47" t="s">
        <v>67</v>
      </c>
      <c r="C46" s="49" t="s">
        <v>7</v>
      </c>
      <c r="D46" s="53" t="s">
        <v>64</v>
      </c>
      <c r="E46" s="54" t="s">
        <v>64</v>
      </c>
      <c r="F46" s="54" t="s">
        <v>64</v>
      </c>
      <c r="G46" s="54" t="s">
        <v>64</v>
      </c>
      <c r="H46" s="54" t="s">
        <v>102</v>
      </c>
      <c r="I46" s="54" t="s">
        <v>64</v>
      </c>
      <c r="J46" s="54" t="s">
        <v>64</v>
      </c>
      <c r="K46" s="54" t="s">
        <v>19</v>
      </c>
      <c r="L46" s="78" t="s">
        <v>64</v>
      </c>
      <c r="M46" s="54"/>
      <c r="N46" s="54"/>
      <c r="O46" s="54"/>
      <c r="P46" s="105"/>
      <c r="Q46" s="83">
        <v>40</v>
      </c>
    </row>
    <row r="47" spans="1:17" ht="20.100000000000001" customHeight="1" x14ac:dyDescent="0.4">
      <c r="A47" s="63">
        <v>29</v>
      </c>
      <c r="B47" s="47" t="s">
        <v>68</v>
      </c>
      <c r="C47" s="49" t="s">
        <v>69</v>
      </c>
      <c r="D47" s="53" t="s">
        <v>19</v>
      </c>
      <c r="E47" s="54" t="s">
        <v>19</v>
      </c>
      <c r="F47" s="54" t="s">
        <v>19</v>
      </c>
      <c r="G47" s="54" t="s">
        <v>102</v>
      </c>
      <c r="H47" s="54" t="s">
        <v>19</v>
      </c>
      <c r="I47" s="54" t="s">
        <v>64</v>
      </c>
      <c r="J47" s="54" t="s">
        <v>19</v>
      </c>
      <c r="K47" s="54" t="s">
        <v>19</v>
      </c>
      <c r="L47" s="78" t="s">
        <v>64</v>
      </c>
      <c r="M47" s="54"/>
      <c r="N47" s="54"/>
      <c r="O47" s="54"/>
      <c r="P47" s="105"/>
      <c r="Q47" s="83">
        <v>40</v>
      </c>
    </row>
    <row r="48" spans="1:17" ht="20.100000000000001" customHeight="1" x14ac:dyDescent="0.4">
      <c r="A48" s="64">
        <v>33</v>
      </c>
      <c r="B48" s="60" t="s">
        <v>109</v>
      </c>
      <c r="C48" s="61" t="s">
        <v>110</v>
      </c>
      <c r="D48" s="55" t="s">
        <v>102</v>
      </c>
      <c r="E48" s="56" t="s">
        <v>102</v>
      </c>
      <c r="F48" s="56" t="s">
        <v>102</v>
      </c>
      <c r="G48" s="56" t="s">
        <v>102</v>
      </c>
      <c r="H48" s="56" t="s">
        <v>102</v>
      </c>
      <c r="I48" s="56" t="s">
        <v>102</v>
      </c>
      <c r="J48" s="56" t="s">
        <v>102</v>
      </c>
      <c r="K48" s="56" t="s">
        <v>102</v>
      </c>
      <c r="L48" s="79" t="s">
        <v>64</v>
      </c>
      <c r="M48" s="56"/>
      <c r="N48" s="56"/>
      <c r="O48" s="56"/>
      <c r="P48" s="106"/>
      <c r="Q48" s="109">
        <v>40</v>
      </c>
    </row>
    <row r="49" spans="1:17" ht="20.100000000000001" customHeight="1" x14ac:dyDescent="0.4">
      <c r="A49" s="65">
        <v>47</v>
      </c>
      <c r="B49" s="66" t="s">
        <v>70</v>
      </c>
      <c r="C49" s="67" t="s">
        <v>71</v>
      </c>
      <c r="D49" s="68" t="s">
        <v>64</v>
      </c>
      <c r="E49" s="69" t="s">
        <v>64</v>
      </c>
      <c r="F49" s="69" t="s">
        <v>19</v>
      </c>
      <c r="G49" s="69" t="s">
        <v>64</v>
      </c>
      <c r="H49" s="69" t="s">
        <v>64</v>
      </c>
      <c r="I49" s="69" t="s">
        <v>64</v>
      </c>
      <c r="J49" s="69" t="s">
        <v>19</v>
      </c>
      <c r="K49" s="69" t="s">
        <v>64</v>
      </c>
      <c r="L49" s="80" t="s">
        <v>64</v>
      </c>
      <c r="M49" s="69"/>
      <c r="N49" s="69"/>
      <c r="O49" s="69"/>
      <c r="P49" s="110"/>
      <c r="Q49" s="111">
        <v>40</v>
      </c>
    </row>
    <row r="50" spans="1:17" ht="20.100000000000001" customHeight="1" x14ac:dyDescent="0.4">
      <c r="A50" s="70">
        <v>78</v>
      </c>
      <c r="B50" s="58" t="s">
        <v>96</v>
      </c>
      <c r="C50" s="59" t="s">
        <v>97</v>
      </c>
      <c r="D50" s="71" t="s">
        <v>64</v>
      </c>
      <c r="E50" s="72" t="s">
        <v>64</v>
      </c>
      <c r="F50" s="72" t="s">
        <v>19</v>
      </c>
      <c r="G50" s="72" t="s">
        <v>102</v>
      </c>
      <c r="H50" s="72" t="s">
        <v>64</v>
      </c>
      <c r="I50" s="72" t="s">
        <v>19</v>
      </c>
      <c r="J50" s="72" t="s">
        <v>19</v>
      </c>
      <c r="K50" s="72" t="s">
        <v>64</v>
      </c>
      <c r="L50" s="81" t="s">
        <v>64</v>
      </c>
      <c r="M50" s="72"/>
      <c r="N50" s="72"/>
      <c r="O50" s="72"/>
      <c r="P50" s="108"/>
      <c r="Q50" s="112">
        <v>25</v>
      </c>
    </row>
    <row r="51" spans="1:17" ht="20.100000000000001" customHeight="1" x14ac:dyDescent="0.4">
      <c r="A51" s="63">
        <v>85</v>
      </c>
      <c r="B51" s="47" t="s">
        <v>74</v>
      </c>
      <c r="C51" s="49" t="s">
        <v>75</v>
      </c>
      <c r="D51" s="53" t="s">
        <v>64</v>
      </c>
      <c r="E51" s="54" t="s">
        <v>64</v>
      </c>
      <c r="F51" s="54" t="s">
        <v>19</v>
      </c>
      <c r="G51" s="54" t="s">
        <v>19</v>
      </c>
      <c r="H51" s="54" t="s">
        <v>19</v>
      </c>
      <c r="I51" s="54" t="s">
        <v>64</v>
      </c>
      <c r="J51" s="54" t="s">
        <v>19</v>
      </c>
      <c r="K51" s="54" t="s">
        <v>19</v>
      </c>
      <c r="L51" s="78" t="s">
        <v>64</v>
      </c>
      <c r="M51" s="54"/>
      <c r="N51" s="54"/>
      <c r="O51" s="54"/>
      <c r="P51" s="105"/>
      <c r="Q51" s="83">
        <v>23</v>
      </c>
    </row>
    <row r="52" spans="1:17" ht="20.100000000000001" customHeight="1" x14ac:dyDescent="0.4">
      <c r="A52" s="63">
        <v>79</v>
      </c>
      <c r="B52" s="47" t="s">
        <v>80</v>
      </c>
      <c r="C52" s="49" t="s">
        <v>81</v>
      </c>
      <c r="D52" s="53" t="s">
        <v>102</v>
      </c>
      <c r="E52" s="54" t="s">
        <v>102</v>
      </c>
      <c r="F52" s="54" t="s">
        <v>19</v>
      </c>
      <c r="G52" s="54" t="s">
        <v>19</v>
      </c>
      <c r="H52" s="54" t="s">
        <v>102</v>
      </c>
      <c r="I52" s="54" t="s">
        <v>19</v>
      </c>
      <c r="J52" s="54" t="s">
        <v>64</v>
      </c>
      <c r="K52" s="54" t="s">
        <v>102</v>
      </c>
      <c r="L52" s="78" t="s">
        <v>19</v>
      </c>
      <c r="M52" s="54"/>
      <c r="N52" s="54"/>
      <c r="O52" s="54"/>
      <c r="P52" s="105"/>
      <c r="Q52" s="83">
        <v>40</v>
      </c>
    </row>
    <row r="53" spans="1:17" ht="20.100000000000001" customHeight="1" x14ac:dyDescent="0.4">
      <c r="A53" s="64">
        <v>22</v>
      </c>
      <c r="B53" s="60" t="s">
        <v>105</v>
      </c>
      <c r="C53" s="61" t="s">
        <v>106</v>
      </c>
      <c r="D53" s="55" t="s">
        <v>102</v>
      </c>
      <c r="E53" s="56" t="s">
        <v>19</v>
      </c>
      <c r="F53" s="56" t="s">
        <v>102</v>
      </c>
      <c r="G53" s="56" t="s">
        <v>64</v>
      </c>
      <c r="H53" s="56" t="s">
        <v>102</v>
      </c>
      <c r="I53" s="56" t="s">
        <v>102</v>
      </c>
      <c r="J53" s="56" t="s">
        <v>102</v>
      </c>
      <c r="K53" s="56" t="s">
        <v>102</v>
      </c>
      <c r="L53" s="79" t="s">
        <v>19</v>
      </c>
      <c r="M53" s="56"/>
      <c r="N53" s="56"/>
      <c r="O53" s="56"/>
      <c r="P53" s="106"/>
      <c r="Q53" s="109">
        <v>40</v>
      </c>
    </row>
    <row r="54" spans="1:17" ht="20.100000000000001" customHeight="1" x14ac:dyDescent="0.4">
      <c r="A54" s="65">
        <v>30</v>
      </c>
      <c r="B54" s="66" t="s">
        <v>86</v>
      </c>
      <c r="C54" s="67" t="s">
        <v>87</v>
      </c>
      <c r="D54" s="68" t="s">
        <v>19</v>
      </c>
      <c r="E54" s="69" t="s">
        <v>19</v>
      </c>
      <c r="F54" s="69" t="s">
        <v>19</v>
      </c>
      <c r="G54" s="69" t="s">
        <v>102</v>
      </c>
      <c r="H54" s="69" t="s">
        <v>64</v>
      </c>
      <c r="I54" s="69" t="s">
        <v>19</v>
      </c>
      <c r="J54" s="69" t="s">
        <v>19</v>
      </c>
      <c r="K54" s="69" t="s">
        <v>19</v>
      </c>
      <c r="L54" s="80" t="s">
        <v>19</v>
      </c>
      <c r="M54" s="69"/>
      <c r="N54" s="69"/>
      <c r="O54" s="69"/>
      <c r="P54" s="110"/>
      <c r="Q54" s="111">
        <v>40</v>
      </c>
    </row>
    <row r="55" spans="1:17" ht="20.100000000000001" customHeight="1" x14ac:dyDescent="0.4">
      <c r="A55" s="70">
        <v>72</v>
      </c>
      <c r="B55" s="58" t="s">
        <v>88</v>
      </c>
      <c r="C55" s="59" t="s">
        <v>89</v>
      </c>
      <c r="D55" s="71" t="s">
        <v>19</v>
      </c>
      <c r="E55" s="72" t="s">
        <v>19</v>
      </c>
      <c r="F55" s="72" t="s">
        <v>102</v>
      </c>
      <c r="G55" s="72" t="s">
        <v>19</v>
      </c>
      <c r="H55" s="72" t="s">
        <v>19</v>
      </c>
      <c r="I55" s="72" t="s">
        <v>19</v>
      </c>
      <c r="J55" s="72" t="s">
        <v>19</v>
      </c>
      <c r="K55" s="72" t="s">
        <v>64</v>
      </c>
      <c r="L55" s="81" t="s">
        <v>19</v>
      </c>
      <c r="M55" s="72"/>
      <c r="N55" s="72"/>
      <c r="O55" s="72"/>
      <c r="P55" s="108"/>
      <c r="Q55" s="112">
        <v>40</v>
      </c>
    </row>
    <row r="56" spans="1:17" ht="20.100000000000001" customHeight="1" x14ac:dyDescent="0.4">
      <c r="A56" s="63">
        <v>35</v>
      </c>
      <c r="B56" s="47" t="s">
        <v>90</v>
      </c>
      <c r="C56" s="49" t="s">
        <v>91</v>
      </c>
      <c r="D56" s="53" t="s">
        <v>19</v>
      </c>
      <c r="E56" s="54" t="s">
        <v>19</v>
      </c>
      <c r="F56" s="54" t="s">
        <v>19</v>
      </c>
      <c r="G56" s="54" t="s">
        <v>64</v>
      </c>
      <c r="H56" s="54" t="s">
        <v>19</v>
      </c>
      <c r="I56" s="54" t="s">
        <v>19</v>
      </c>
      <c r="J56" s="54" t="s">
        <v>19</v>
      </c>
      <c r="K56" s="54" t="s">
        <v>19</v>
      </c>
      <c r="L56" s="78" t="s">
        <v>19</v>
      </c>
      <c r="M56" s="54"/>
      <c r="N56" s="54"/>
      <c r="O56" s="54"/>
      <c r="P56" s="105"/>
      <c r="Q56" s="83">
        <v>40</v>
      </c>
    </row>
    <row r="57" spans="1:17" ht="20.100000000000001" customHeight="1" x14ac:dyDescent="0.4">
      <c r="A57" s="63">
        <v>58</v>
      </c>
      <c r="B57" s="47" t="s">
        <v>92</v>
      </c>
      <c r="C57" s="49" t="s">
        <v>93</v>
      </c>
      <c r="D57" s="53" t="s">
        <v>19</v>
      </c>
      <c r="E57" s="54" t="s">
        <v>19</v>
      </c>
      <c r="F57" s="54" t="s">
        <v>64</v>
      </c>
      <c r="G57" s="54" t="s">
        <v>19</v>
      </c>
      <c r="H57" s="54" t="s">
        <v>102</v>
      </c>
      <c r="I57" s="54" t="s">
        <v>19</v>
      </c>
      <c r="J57" s="54" t="s">
        <v>19</v>
      </c>
      <c r="K57" s="54" t="s">
        <v>64</v>
      </c>
      <c r="L57" s="78" t="s">
        <v>19</v>
      </c>
      <c r="M57" s="54"/>
      <c r="N57" s="54"/>
      <c r="O57" s="54"/>
      <c r="P57" s="105"/>
      <c r="Q57" s="83">
        <v>35</v>
      </c>
    </row>
    <row r="58" spans="1:17" ht="20.100000000000001" customHeight="1" x14ac:dyDescent="0.4">
      <c r="A58" s="64">
        <v>65</v>
      </c>
      <c r="B58" s="60" t="s">
        <v>113</v>
      </c>
      <c r="C58" s="61" t="s">
        <v>114</v>
      </c>
      <c r="D58" s="55" t="s">
        <v>19</v>
      </c>
      <c r="E58" s="56" t="s">
        <v>19</v>
      </c>
      <c r="F58" s="56" t="s">
        <v>19</v>
      </c>
      <c r="G58" s="56" t="s">
        <v>64</v>
      </c>
      <c r="H58" s="56" t="s">
        <v>19</v>
      </c>
      <c r="I58" s="56" t="s">
        <v>102</v>
      </c>
      <c r="J58" s="56" t="s">
        <v>19</v>
      </c>
      <c r="K58" s="56" t="s">
        <v>19</v>
      </c>
      <c r="L58" s="79" t="s">
        <v>19</v>
      </c>
      <c r="M58" s="56"/>
      <c r="N58" s="56"/>
      <c r="O58" s="56"/>
      <c r="P58" s="106"/>
      <c r="Q58" s="109">
        <v>30</v>
      </c>
    </row>
    <row r="59" spans="1:17" ht="20.100000000000001" customHeight="1" x14ac:dyDescent="0.4">
      <c r="A59" s="65">
        <v>74</v>
      </c>
      <c r="B59" s="66" t="s">
        <v>72</v>
      </c>
      <c r="C59" s="67" t="s">
        <v>73</v>
      </c>
      <c r="D59" s="68" t="s">
        <v>64</v>
      </c>
      <c r="E59" s="69" t="s">
        <v>64</v>
      </c>
      <c r="F59" s="69" t="s">
        <v>102</v>
      </c>
      <c r="G59" s="69" t="s">
        <v>64</v>
      </c>
      <c r="H59" s="69" t="s">
        <v>19</v>
      </c>
      <c r="I59" s="69" t="s">
        <v>64</v>
      </c>
      <c r="J59" s="69" t="s">
        <v>64</v>
      </c>
      <c r="K59" s="69" t="s">
        <v>102</v>
      </c>
      <c r="L59" s="80" t="s">
        <v>19</v>
      </c>
      <c r="M59" s="69"/>
      <c r="N59" s="69"/>
      <c r="O59" s="69"/>
      <c r="P59" s="110"/>
      <c r="Q59" s="111">
        <v>25</v>
      </c>
    </row>
    <row r="60" spans="1:17" ht="20.100000000000001" customHeight="1" x14ac:dyDescent="0.4">
      <c r="A60" s="70">
        <v>82</v>
      </c>
      <c r="B60" s="58" t="s">
        <v>76</v>
      </c>
      <c r="C60" s="59" t="s">
        <v>77</v>
      </c>
      <c r="D60" s="71" t="s">
        <v>64</v>
      </c>
      <c r="E60" s="72" t="s">
        <v>64</v>
      </c>
      <c r="F60" s="72" t="s">
        <v>64</v>
      </c>
      <c r="G60" s="72" t="s">
        <v>64</v>
      </c>
      <c r="H60" s="72" t="s">
        <v>102</v>
      </c>
      <c r="I60" s="72" t="s">
        <v>64</v>
      </c>
      <c r="J60" s="72" t="s">
        <v>19</v>
      </c>
      <c r="K60" s="72" t="s">
        <v>19</v>
      </c>
      <c r="L60" s="81" t="s">
        <v>19</v>
      </c>
      <c r="M60" s="72"/>
      <c r="N60" s="72"/>
      <c r="O60" s="72"/>
      <c r="P60" s="108"/>
      <c r="Q60" s="112">
        <v>23</v>
      </c>
    </row>
    <row r="61" spans="1:17" ht="20.100000000000001" customHeight="1" x14ac:dyDescent="0.4">
      <c r="A61" s="63">
        <v>94</v>
      </c>
      <c r="B61" s="47" t="s">
        <v>78</v>
      </c>
      <c r="C61" s="49" t="s">
        <v>79</v>
      </c>
      <c r="D61" s="53" t="s">
        <v>64</v>
      </c>
      <c r="E61" s="54" t="s">
        <v>64</v>
      </c>
      <c r="F61" s="54" t="s">
        <v>64</v>
      </c>
      <c r="G61" s="54" t="s">
        <v>64</v>
      </c>
      <c r="H61" s="54" t="s">
        <v>64</v>
      </c>
      <c r="I61" s="54" t="s">
        <v>64</v>
      </c>
      <c r="J61" s="54" t="s">
        <v>64</v>
      </c>
      <c r="K61" s="54" t="s">
        <v>102</v>
      </c>
      <c r="L61" s="78" t="s">
        <v>19</v>
      </c>
      <c r="M61" s="54"/>
      <c r="N61" s="54"/>
      <c r="O61" s="54"/>
      <c r="P61" s="105"/>
      <c r="Q61" s="83">
        <v>10</v>
      </c>
    </row>
    <row r="62" spans="1:17" ht="20.100000000000001" customHeight="1" x14ac:dyDescent="0.4">
      <c r="A62" s="63">
        <v>11</v>
      </c>
      <c r="B62" s="47" t="s">
        <v>100</v>
      </c>
      <c r="C62" s="49" t="s">
        <v>101</v>
      </c>
      <c r="D62" s="53" t="s">
        <v>102</v>
      </c>
      <c r="E62" s="54" t="s">
        <v>102</v>
      </c>
      <c r="F62" s="54" t="s">
        <v>19</v>
      </c>
      <c r="G62" s="54" t="s">
        <v>102</v>
      </c>
      <c r="H62" s="54" t="s">
        <v>64</v>
      </c>
      <c r="I62" s="54" t="s">
        <v>102</v>
      </c>
      <c r="J62" s="54" t="s">
        <v>102</v>
      </c>
      <c r="K62" s="54" t="s">
        <v>102</v>
      </c>
      <c r="L62" s="78" t="s">
        <v>102</v>
      </c>
      <c r="M62" s="54"/>
      <c r="N62" s="54"/>
      <c r="O62" s="54"/>
      <c r="P62" s="105"/>
      <c r="Q62" s="83">
        <v>40</v>
      </c>
    </row>
    <row r="63" spans="1:17" ht="20.100000000000001" customHeight="1" x14ac:dyDescent="0.4">
      <c r="A63" s="64">
        <v>15</v>
      </c>
      <c r="B63" s="60" t="s">
        <v>62</v>
      </c>
      <c r="C63" s="61" t="s">
        <v>63</v>
      </c>
      <c r="D63" s="55" t="s">
        <v>19</v>
      </c>
      <c r="E63" s="56" t="s">
        <v>19</v>
      </c>
      <c r="F63" s="56" t="s">
        <v>19</v>
      </c>
      <c r="G63" s="56" t="s">
        <v>19</v>
      </c>
      <c r="H63" s="56" t="s">
        <v>19</v>
      </c>
      <c r="I63" s="56" t="s">
        <v>19</v>
      </c>
      <c r="J63" s="56" t="s">
        <v>64</v>
      </c>
      <c r="K63" s="56" t="s">
        <v>19</v>
      </c>
      <c r="L63" s="79" t="s">
        <v>102</v>
      </c>
      <c r="M63" s="56"/>
      <c r="N63" s="56"/>
      <c r="O63" s="56"/>
      <c r="P63" s="106"/>
      <c r="Q63" s="109">
        <v>40</v>
      </c>
    </row>
    <row r="64" spans="1:17" ht="20.100000000000001" customHeight="1" x14ac:dyDescent="0.4">
      <c r="A64" s="65">
        <v>95</v>
      </c>
      <c r="B64" s="66" t="s">
        <v>84</v>
      </c>
      <c r="C64" s="67" t="s">
        <v>85</v>
      </c>
      <c r="D64" s="68" t="s">
        <v>19</v>
      </c>
      <c r="E64" s="69" t="s">
        <v>102</v>
      </c>
      <c r="F64" s="69" t="s">
        <v>64</v>
      </c>
      <c r="G64" s="69" t="s">
        <v>19</v>
      </c>
      <c r="H64" s="69" t="s">
        <v>19</v>
      </c>
      <c r="I64" s="69" t="s">
        <v>19</v>
      </c>
      <c r="J64" s="69" t="s">
        <v>64</v>
      </c>
      <c r="K64" s="69" t="s">
        <v>64</v>
      </c>
      <c r="L64" s="80" t="s">
        <v>102</v>
      </c>
      <c r="M64" s="69"/>
      <c r="N64" s="69"/>
      <c r="O64" s="69"/>
      <c r="P64" s="110"/>
      <c r="Q64" s="111">
        <v>40</v>
      </c>
    </row>
    <row r="65" spans="1:17" ht="20.100000000000001" customHeight="1" x14ac:dyDescent="0.4">
      <c r="A65" s="70">
        <v>24</v>
      </c>
      <c r="B65" s="58" t="s">
        <v>107</v>
      </c>
      <c r="C65" s="59" t="s">
        <v>108</v>
      </c>
      <c r="D65" s="71" t="s">
        <v>64</v>
      </c>
      <c r="E65" s="72" t="s">
        <v>64</v>
      </c>
      <c r="F65" s="72" t="s">
        <v>64</v>
      </c>
      <c r="G65" s="72" t="s">
        <v>19</v>
      </c>
      <c r="H65" s="72" t="s">
        <v>64</v>
      </c>
      <c r="I65" s="72" t="s">
        <v>102</v>
      </c>
      <c r="J65" s="72" t="s">
        <v>64</v>
      </c>
      <c r="K65" s="72" t="s">
        <v>64</v>
      </c>
      <c r="L65" s="81" t="s">
        <v>102</v>
      </c>
      <c r="M65" s="72"/>
      <c r="N65" s="72"/>
      <c r="O65" s="72"/>
      <c r="P65" s="108"/>
      <c r="Q65" s="112">
        <v>40</v>
      </c>
    </row>
    <row r="66" spans="1:17" ht="20.100000000000001" customHeight="1" x14ac:dyDescent="0.4">
      <c r="A66" s="63">
        <v>49</v>
      </c>
      <c r="B66" s="47" t="s">
        <v>111</v>
      </c>
      <c r="C66" s="49" t="s">
        <v>112</v>
      </c>
      <c r="D66" s="53" t="s">
        <v>102</v>
      </c>
      <c r="E66" s="54" t="s">
        <v>102</v>
      </c>
      <c r="F66" s="54" t="s">
        <v>102</v>
      </c>
      <c r="G66" s="54" t="s">
        <v>64</v>
      </c>
      <c r="H66" s="54" t="s">
        <v>19</v>
      </c>
      <c r="I66" s="54" t="s">
        <v>102</v>
      </c>
      <c r="J66" s="54" t="s">
        <v>102</v>
      </c>
      <c r="K66" s="54" t="s">
        <v>64</v>
      </c>
      <c r="L66" s="78" t="s">
        <v>102</v>
      </c>
      <c r="M66" s="54"/>
      <c r="N66" s="54"/>
      <c r="O66" s="54"/>
      <c r="P66" s="105"/>
      <c r="Q66" s="83">
        <v>40</v>
      </c>
    </row>
    <row r="67" spans="1:17" ht="20.100000000000001" customHeight="1" x14ac:dyDescent="0.4">
      <c r="A67" s="63">
        <v>64</v>
      </c>
      <c r="B67" s="47" t="s">
        <v>176</v>
      </c>
      <c r="C67" s="49" t="s">
        <v>177</v>
      </c>
      <c r="D67" s="53" t="s">
        <v>61</v>
      </c>
      <c r="E67" s="54" t="s">
        <v>61</v>
      </c>
      <c r="F67" s="54" t="s">
        <v>61</v>
      </c>
      <c r="G67" s="54" t="s">
        <v>61</v>
      </c>
      <c r="H67" s="54" t="s">
        <v>61</v>
      </c>
      <c r="I67" s="54" t="s">
        <v>61</v>
      </c>
      <c r="J67" s="54" t="s">
        <v>64</v>
      </c>
      <c r="K67" s="54" t="s">
        <v>64</v>
      </c>
      <c r="L67" s="78" t="s">
        <v>102</v>
      </c>
      <c r="M67" s="54"/>
      <c r="N67" s="54"/>
      <c r="O67" s="54"/>
      <c r="P67" s="105"/>
      <c r="Q67" s="83">
        <v>30</v>
      </c>
    </row>
    <row r="68" spans="1:17" ht="20.100000000000001" customHeight="1" x14ac:dyDescent="0.4">
      <c r="A68" s="64">
        <v>87</v>
      </c>
      <c r="B68" s="60" t="s">
        <v>98</v>
      </c>
      <c r="C68" s="61" t="s">
        <v>99</v>
      </c>
      <c r="D68" s="55" t="s">
        <v>19</v>
      </c>
      <c r="E68" s="56" t="s">
        <v>64</v>
      </c>
      <c r="F68" s="56" t="s">
        <v>64</v>
      </c>
      <c r="G68" s="56" t="s">
        <v>19</v>
      </c>
      <c r="H68" s="56" t="s">
        <v>102</v>
      </c>
      <c r="I68" s="56" t="s">
        <v>19</v>
      </c>
      <c r="J68" s="56" t="s">
        <v>19</v>
      </c>
      <c r="K68" s="56" t="s">
        <v>19</v>
      </c>
      <c r="L68" s="79" t="s">
        <v>102</v>
      </c>
      <c r="M68" s="56"/>
      <c r="N68" s="56"/>
      <c r="O68" s="56"/>
      <c r="P68" s="106"/>
      <c r="Q68" s="109">
        <v>20</v>
      </c>
    </row>
    <row r="69" spans="1:17" ht="20.100000000000001" customHeight="1" x14ac:dyDescent="0.4">
      <c r="A69" s="65">
        <v>7</v>
      </c>
      <c r="B69" s="66" t="s">
        <v>126</v>
      </c>
      <c r="C69" s="67" t="s">
        <v>127</v>
      </c>
      <c r="D69" s="68" t="s">
        <v>205</v>
      </c>
      <c r="E69" s="69" t="s">
        <v>205</v>
      </c>
      <c r="F69" s="69" t="s">
        <v>205</v>
      </c>
      <c r="G69" s="69" t="s">
        <v>205</v>
      </c>
      <c r="H69" s="69" t="s">
        <v>205</v>
      </c>
      <c r="I69" s="69" t="s">
        <v>205</v>
      </c>
      <c r="J69" s="69" t="s">
        <v>205</v>
      </c>
      <c r="K69" s="69" t="s">
        <v>205</v>
      </c>
      <c r="L69" s="80" t="s">
        <v>205</v>
      </c>
      <c r="M69" s="69"/>
      <c r="N69" s="69"/>
      <c r="O69" s="69"/>
      <c r="P69" s="110"/>
      <c r="Q69" s="111">
        <v>40</v>
      </c>
    </row>
    <row r="70" spans="1:17" ht="20.100000000000001" customHeight="1" x14ac:dyDescent="0.4">
      <c r="A70" s="70">
        <v>26</v>
      </c>
      <c r="B70" s="58" t="s">
        <v>144</v>
      </c>
      <c r="C70" s="59" t="s">
        <v>145</v>
      </c>
      <c r="D70" s="71" t="s">
        <v>205</v>
      </c>
      <c r="E70" s="72" t="s">
        <v>205</v>
      </c>
      <c r="F70" s="72" t="s">
        <v>205</v>
      </c>
      <c r="G70" s="72" t="s">
        <v>205</v>
      </c>
      <c r="H70" s="72" t="s">
        <v>205</v>
      </c>
      <c r="I70" s="72" t="s">
        <v>205</v>
      </c>
      <c r="J70" s="72" t="s">
        <v>205</v>
      </c>
      <c r="K70" s="72" t="s">
        <v>205</v>
      </c>
      <c r="L70" s="81" t="s">
        <v>205</v>
      </c>
      <c r="M70" s="72"/>
      <c r="N70" s="72"/>
      <c r="O70" s="72"/>
      <c r="P70" s="108"/>
      <c r="Q70" s="112">
        <v>40</v>
      </c>
    </row>
    <row r="71" spans="1:17" ht="20.100000000000001" customHeight="1" x14ac:dyDescent="0.4">
      <c r="A71" s="63">
        <v>37</v>
      </c>
      <c r="B71" s="47" t="s">
        <v>152</v>
      </c>
      <c r="C71" s="49" t="s">
        <v>153</v>
      </c>
      <c r="D71" s="53" t="s">
        <v>205</v>
      </c>
      <c r="E71" s="54" t="s">
        <v>205</v>
      </c>
      <c r="F71" s="54" t="s">
        <v>205</v>
      </c>
      <c r="G71" s="54" t="s">
        <v>205</v>
      </c>
      <c r="H71" s="54" t="s">
        <v>205</v>
      </c>
      <c r="I71" s="54" t="s">
        <v>205</v>
      </c>
      <c r="J71" s="54" t="s">
        <v>205</v>
      </c>
      <c r="K71" s="54" t="s">
        <v>205</v>
      </c>
      <c r="L71" s="78" t="s">
        <v>205</v>
      </c>
      <c r="M71" s="54"/>
      <c r="N71" s="54"/>
      <c r="O71" s="54"/>
      <c r="P71" s="105"/>
      <c r="Q71" s="83">
        <v>40</v>
      </c>
    </row>
    <row r="72" spans="1:17" ht="20.100000000000001" customHeight="1" x14ac:dyDescent="0.4">
      <c r="A72" s="63">
        <v>44</v>
      </c>
      <c r="B72" s="47" t="s">
        <v>162</v>
      </c>
      <c r="C72" s="49" t="s">
        <v>163</v>
      </c>
      <c r="D72" s="53" t="s">
        <v>205</v>
      </c>
      <c r="E72" s="54" t="s">
        <v>205</v>
      </c>
      <c r="F72" s="54" t="s">
        <v>205</v>
      </c>
      <c r="G72" s="54" t="s">
        <v>205</v>
      </c>
      <c r="H72" s="54" t="s">
        <v>205</v>
      </c>
      <c r="I72" s="54" t="s">
        <v>205</v>
      </c>
      <c r="J72" s="54" t="s">
        <v>205</v>
      </c>
      <c r="K72" s="54" t="s">
        <v>205</v>
      </c>
      <c r="L72" s="78" t="s">
        <v>205</v>
      </c>
      <c r="M72" s="54"/>
      <c r="N72" s="54"/>
      <c r="O72" s="54"/>
      <c r="P72" s="105"/>
      <c r="Q72" s="83">
        <v>40</v>
      </c>
    </row>
    <row r="73" spans="1:17" ht="20.100000000000001" customHeight="1" x14ac:dyDescent="0.4">
      <c r="A73" s="64">
        <v>53</v>
      </c>
      <c r="B73" s="60" t="s">
        <v>170</v>
      </c>
      <c r="C73" s="61" t="s">
        <v>171</v>
      </c>
      <c r="D73" s="55" t="s">
        <v>61</v>
      </c>
      <c r="E73" s="56" t="s">
        <v>61</v>
      </c>
      <c r="F73" s="56" t="s">
        <v>61</v>
      </c>
      <c r="G73" s="56" t="s">
        <v>61</v>
      </c>
      <c r="H73" s="56" t="s">
        <v>61</v>
      </c>
      <c r="I73" s="56" t="s">
        <v>61</v>
      </c>
      <c r="J73" s="56" t="s">
        <v>205</v>
      </c>
      <c r="K73" s="56" t="s">
        <v>205</v>
      </c>
      <c r="L73" s="79" t="s">
        <v>205</v>
      </c>
      <c r="M73" s="56"/>
      <c r="N73" s="56"/>
      <c r="O73" s="56"/>
      <c r="P73" s="106"/>
      <c r="Q73" s="109">
        <v>40</v>
      </c>
    </row>
    <row r="74" spans="1:17" ht="20.100000000000001" customHeight="1" x14ac:dyDescent="0.4">
      <c r="A74" s="65">
        <v>77</v>
      </c>
      <c r="B74" s="66" t="s">
        <v>186</v>
      </c>
      <c r="C74" s="67" t="s">
        <v>187</v>
      </c>
      <c r="D74" s="68" t="s">
        <v>205</v>
      </c>
      <c r="E74" s="69" t="s">
        <v>205</v>
      </c>
      <c r="F74" s="69" t="s">
        <v>205</v>
      </c>
      <c r="G74" s="69" t="s">
        <v>205</v>
      </c>
      <c r="H74" s="69" t="s">
        <v>205</v>
      </c>
      <c r="I74" s="69" t="s">
        <v>205</v>
      </c>
      <c r="J74" s="69" t="s">
        <v>205</v>
      </c>
      <c r="K74" s="69" t="s">
        <v>205</v>
      </c>
      <c r="L74" s="80" t="s">
        <v>205</v>
      </c>
      <c r="M74" s="69"/>
      <c r="N74" s="69"/>
      <c r="O74" s="69"/>
      <c r="P74" s="110"/>
      <c r="Q74" s="111">
        <v>25</v>
      </c>
    </row>
    <row r="75" spans="1:17" ht="20.100000000000001" customHeight="1" x14ac:dyDescent="0.4">
      <c r="A75" s="70">
        <v>84</v>
      </c>
      <c r="B75" s="58" t="s">
        <v>190</v>
      </c>
      <c r="C75" s="59" t="s">
        <v>191</v>
      </c>
      <c r="D75" s="71" t="s">
        <v>205</v>
      </c>
      <c r="E75" s="72" t="s">
        <v>205</v>
      </c>
      <c r="F75" s="72" t="s">
        <v>205</v>
      </c>
      <c r="G75" s="72" t="s">
        <v>205</v>
      </c>
      <c r="H75" s="72" t="s">
        <v>205</v>
      </c>
      <c r="I75" s="72" t="s">
        <v>205</v>
      </c>
      <c r="J75" s="72" t="s">
        <v>205</v>
      </c>
      <c r="K75" s="72" t="s">
        <v>205</v>
      </c>
      <c r="L75" s="81" t="s">
        <v>205</v>
      </c>
      <c r="M75" s="72"/>
      <c r="N75" s="72"/>
      <c r="O75" s="72"/>
      <c r="P75" s="108"/>
      <c r="Q75" s="112">
        <v>23</v>
      </c>
    </row>
    <row r="76" spans="1:17" ht="20.100000000000001" customHeight="1" x14ac:dyDescent="0.4">
      <c r="A76" s="63">
        <v>5</v>
      </c>
      <c r="B76" s="47" t="s">
        <v>123</v>
      </c>
      <c r="C76" s="49" t="s">
        <v>124</v>
      </c>
      <c r="D76" s="53" t="s">
        <v>119</v>
      </c>
      <c r="E76" s="54" t="s">
        <v>119</v>
      </c>
      <c r="F76" s="54" t="s">
        <v>119</v>
      </c>
      <c r="G76" s="54" t="s">
        <v>119</v>
      </c>
      <c r="H76" s="54" t="s">
        <v>119</v>
      </c>
      <c r="I76" s="54" t="s">
        <v>119</v>
      </c>
      <c r="J76" s="54" t="s">
        <v>119</v>
      </c>
      <c r="K76" s="54" t="s">
        <v>119</v>
      </c>
      <c r="L76" s="78" t="s">
        <v>119</v>
      </c>
      <c r="M76" s="54"/>
      <c r="N76" s="54"/>
      <c r="O76" s="54"/>
      <c r="P76" s="105"/>
      <c r="Q76" s="83">
        <v>40</v>
      </c>
    </row>
    <row r="77" spans="1:17" ht="20.100000000000001" customHeight="1" x14ac:dyDescent="0.4">
      <c r="A77" s="63">
        <v>71</v>
      </c>
      <c r="B77" s="47" t="s">
        <v>194</v>
      </c>
      <c r="C77" s="49" t="s">
        <v>195</v>
      </c>
      <c r="D77" s="53" t="s">
        <v>207</v>
      </c>
      <c r="E77" s="54" t="s">
        <v>207</v>
      </c>
      <c r="F77" s="54" t="s">
        <v>207</v>
      </c>
      <c r="G77" s="54" t="s">
        <v>207</v>
      </c>
      <c r="H77" s="54" t="s">
        <v>207</v>
      </c>
      <c r="I77" s="54" t="s">
        <v>207</v>
      </c>
      <c r="J77" s="54" t="s">
        <v>207</v>
      </c>
      <c r="K77" s="54" t="s">
        <v>207</v>
      </c>
      <c r="L77" s="78" t="s">
        <v>207</v>
      </c>
      <c r="M77" s="54"/>
      <c r="N77" s="54"/>
      <c r="O77" s="54"/>
      <c r="P77" s="105"/>
      <c r="Q77" s="83">
        <v>5</v>
      </c>
    </row>
    <row r="78" spans="1:17" ht="20.100000000000001" customHeight="1" x14ac:dyDescent="0.4">
      <c r="A78" s="64">
        <v>9</v>
      </c>
      <c r="B78" s="60" t="s">
        <v>128</v>
      </c>
      <c r="C78" s="61" t="s">
        <v>129</v>
      </c>
      <c r="D78" s="55" t="s">
        <v>122</v>
      </c>
      <c r="E78" s="56" t="s">
        <v>122</v>
      </c>
      <c r="F78" s="56" t="s">
        <v>122</v>
      </c>
      <c r="G78" s="56" t="s">
        <v>122</v>
      </c>
      <c r="H78" s="56" t="s">
        <v>122</v>
      </c>
      <c r="I78" s="56" t="s">
        <v>122</v>
      </c>
      <c r="J78" s="56" t="s">
        <v>122</v>
      </c>
      <c r="K78" s="56" t="s">
        <v>122</v>
      </c>
      <c r="L78" s="79" t="s">
        <v>122</v>
      </c>
      <c r="M78" s="56"/>
      <c r="N78" s="56"/>
      <c r="O78" s="56"/>
      <c r="P78" s="106"/>
      <c r="Q78" s="109">
        <v>40</v>
      </c>
    </row>
    <row r="79" spans="1:17" ht="20.100000000000001" customHeight="1" x14ac:dyDescent="0.4">
      <c r="A79" s="65">
        <v>16</v>
      </c>
      <c r="B79" s="66" t="s">
        <v>138</v>
      </c>
      <c r="C79" s="67" t="s">
        <v>139</v>
      </c>
      <c r="D79" s="68" t="s">
        <v>122</v>
      </c>
      <c r="E79" s="69" t="s">
        <v>122</v>
      </c>
      <c r="F79" s="69" t="s">
        <v>122</v>
      </c>
      <c r="G79" s="69" t="s">
        <v>122</v>
      </c>
      <c r="H79" s="69" t="s">
        <v>122</v>
      </c>
      <c r="I79" s="69"/>
      <c r="J79" s="69" t="s">
        <v>122</v>
      </c>
      <c r="K79" s="69" t="s">
        <v>122</v>
      </c>
      <c r="L79" s="80" t="s">
        <v>122</v>
      </c>
      <c r="M79" s="69"/>
      <c r="N79" s="69"/>
      <c r="O79" s="69"/>
      <c r="P79" s="110"/>
      <c r="Q79" s="111">
        <v>40</v>
      </c>
    </row>
    <row r="80" spans="1:17" ht="20.100000000000001" customHeight="1" x14ac:dyDescent="0.4">
      <c r="A80" s="70">
        <v>23</v>
      </c>
      <c r="B80" s="58" t="s">
        <v>120</v>
      </c>
      <c r="C80" s="59" t="s">
        <v>121</v>
      </c>
      <c r="D80" s="71" t="s">
        <v>122</v>
      </c>
      <c r="E80" s="72" t="s">
        <v>122</v>
      </c>
      <c r="F80" s="72" t="s">
        <v>122</v>
      </c>
      <c r="G80" s="72" t="s">
        <v>122</v>
      </c>
      <c r="H80" s="72" t="s">
        <v>122</v>
      </c>
      <c r="I80" s="72" t="s">
        <v>122</v>
      </c>
      <c r="J80" s="72" t="s">
        <v>122</v>
      </c>
      <c r="K80" s="72" t="s">
        <v>122</v>
      </c>
      <c r="L80" s="81" t="s">
        <v>122</v>
      </c>
      <c r="M80" s="72"/>
      <c r="N80" s="72"/>
      <c r="O80" s="72"/>
      <c r="P80" s="108"/>
      <c r="Q80" s="112">
        <v>40</v>
      </c>
    </row>
    <row r="81" spans="1:17" ht="20.100000000000001" customHeight="1" thickBot="1" x14ac:dyDescent="0.45">
      <c r="A81" s="94">
        <v>91</v>
      </c>
      <c r="B81" s="92" t="s">
        <v>94</v>
      </c>
      <c r="C81" s="93" t="s">
        <v>95</v>
      </c>
      <c r="D81" s="86" t="s">
        <v>19</v>
      </c>
      <c r="E81" s="87" t="s">
        <v>19</v>
      </c>
      <c r="F81" s="87" t="s">
        <v>102</v>
      </c>
      <c r="G81" s="87" t="s">
        <v>19</v>
      </c>
      <c r="H81" s="87" t="s">
        <v>64</v>
      </c>
      <c r="I81" s="87" t="s">
        <v>19</v>
      </c>
      <c r="J81" s="87" t="s">
        <v>102</v>
      </c>
      <c r="K81" s="87" t="s">
        <v>122</v>
      </c>
      <c r="L81" s="88" t="s">
        <v>122</v>
      </c>
      <c r="M81" s="87"/>
      <c r="N81" s="87"/>
      <c r="O81" s="87"/>
      <c r="P81" s="107"/>
      <c r="Q81" s="84">
        <v>35</v>
      </c>
    </row>
  </sheetData>
  <phoneticPr fontId="1"/>
  <conditionalFormatting sqref="D4:P81">
    <cfRule type="endsWith" dxfId="149" priority="1" stopIfTrue="1" operator="endsWith" text="RT">
      <formula>RIGHT(D4,LEN("RT"))="RT"</formula>
    </cfRule>
    <cfRule type="endsWith" dxfId="148" priority="2" stopIfTrue="1" operator="endsWith" text="MR">
      <formula>RIGHT(D4,LEN("MR"))="MR"</formula>
    </cfRule>
    <cfRule type="endsWith" dxfId="147" priority="3" stopIfTrue="1" operator="endsWith" text="TV">
      <formula>RIGHT(D4,LEN("TV"))="TV"</formula>
    </cfRule>
    <cfRule type="endsWith" dxfId="146" priority="4" stopIfTrue="1" operator="endsWith" text="KS">
      <formula>RIGHT(D4,LEN("KS"))="KS"</formula>
    </cfRule>
    <cfRule type="endsWith" dxfId="145" priority="5" stopIfTrue="1" operator="endsWith" text="NM">
      <formula>RIGHT(D4,LEN("NM"))="NM"</formula>
    </cfRule>
    <cfRule type="endsWith" dxfId="144" priority="6" stopIfTrue="1" operator="endsWith" text="XP">
      <formula>RIGHT(D4,LEN("XP"))="XP"</formula>
    </cfRule>
    <cfRule type="endsWith" dxfId="143" priority="7" stopIfTrue="1" operator="endsWith" text="MG">
      <formula>RIGHT(D4,LEN("MG"))="MG"</formula>
    </cfRule>
    <cfRule type="endsWith" dxfId="142" priority="8" stopIfTrue="1" operator="endsWith" text="MT">
      <formula>RIGHT(D4,LEN("MT"))="MT"</formula>
    </cfRule>
    <cfRule type="endsWith" dxfId="141" priority="9" stopIfTrue="1" operator="endsWith" text="CT">
      <formula>RIGHT(D4,LEN("CT"))="CT"</formula>
    </cfRule>
    <cfRule type="endsWith" dxfId="140" priority="10" stopIfTrue="1" operator="endsWith" text="XO">
      <formula>RIGHT(D4,LEN("XO"))="XO"</formula>
    </cfRule>
    <cfRule type="endsWith" dxfId="139" priority="11" stopIfTrue="1" operator="endsWith" text="AG">
      <formula>RIGHT(D4,LEN("AG"))="AG"</formula>
    </cfRule>
    <cfRule type="endsWith" dxfId="138" priority="12" stopIfTrue="1" operator="endsWith" text="FR">
      <formula>RIGHT(D4,LEN("FR"))="FR"</formula>
    </cfRule>
    <cfRule type="endsWith" dxfId="137" priority="13" stopIfTrue="1" operator="endsWith" text="AS">
      <formula>RIGHT(D4,LEN("AS"))="AS"</formula>
    </cfRule>
    <cfRule type="endsWith" dxfId="136" priority="14" stopIfTrue="1" operator="endsWith" text="ET">
      <formula>RIGHT(D4,LEN("ET"))="ET"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533400</xdr:colOff>
                <xdr:row>2</xdr:row>
                <xdr:rowOff>276225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37" activePane="bottomLeft" state="frozenSplit"/>
      <selection pane="bottomLeft" activeCell="D45" sqref="D45"/>
    </sheetView>
  </sheetViews>
  <sheetFormatPr defaultColWidth="12.625" defaultRowHeight="18.75" x14ac:dyDescent="0.4"/>
  <cols>
    <col min="1" max="1" width="12.625" style="1" customWidth="1"/>
    <col min="2" max="4" width="12.625" style="1"/>
    <col min="5" max="5" width="15.625" style="1" customWidth="1"/>
    <col min="6" max="8" width="12.625" style="1"/>
    <col min="9" max="9" width="30.625" style="1" customWidth="1"/>
    <col min="10" max="16384" width="12.625" style="1"/>
  </cols>
  <sheetData>
    <row r="2" spans="1:9" ht="19.5" thickBot="1" x14ac:dyDescent="0.45"/>
    <row r="3" spans="1:9" ht="19.5" thickBot="1" x14ac:dyDescent="0.45">
      <c r="A3" s="44" t="s">
        <v>208</v>
      </c>
      <c r="B3" s="43" t="s">
        <v>209</v>
      </c>
      <c r="C3" s="43" t="s">
        <v>210</v>
      </c>
      <c r="D3" s="43" t="s">
        <v>211</v>
      </c>
      <c r="E3" s="43" t="s">
        <v>212</v>
      </c>
      <c r="F3" s="43" t="s">
        <v>213</v>
      </c>
      <c r="G3" s="43" t="s">
        <v>214</v>
      </c>
      <c r="H3" s="43" t="s">
        <v>215</v>
      </c>
      <c r="I3" s="45" t="s">
        <v>216</v>
      </c>
    </row>
    <row r="4" spans="1:9" x14ac:dyDescent="0.4">
      <c r="A4" s="139" t="s">
        <v>363</v>
      </c>
      <c r="B4" s="222">
        <v>97</v>
      </c>
      <c r="C4" s="5" t="s">
        <v>364</v>
      </c>
      <c r="D4" s="222" t="s">
        <v>365</v>
      </c>
      <c r="E4" s="222"/>
      <c r="F4" s="222">
        <v>1</v>
      </c>
      <c r="G4" s="222">
        <v>1</v>
      </c>
      <c r="H4" s="222">
        <v>0</v>
      </c>
      <c r="I4" s="100"/>
    </row>
    <row r="5" spans="1:9" x14ac:dyDescent="0.4">
      <c r="A5" s="137" t="s">
        <v>363</v>
      </c>
      <c r="B5" s="15">
        <v>4</v>
      </c>
      <c r="C5" s="3" t="s">
        <v>366</v>
      </c>
      <c r="D5" s="15" t="s">
        <v>367</v>
      </c>
      <c r="E5" s="15"/>
      <c r="F5" s="15">
        <v>1</v>
      </c>
      <c r="G5" s="15">
        <v>1</v>
      </c>
      <c r="H5" s="15">
        <v>0</v>
      </c>
      <c r="I5" s="138"/>
    </row>
    <row r="6" spans="1:9" x14ac:dyDescent="0.4">
      <c r="A6" s="137" t="s">
        <v>363</v>
      </c>
      <c r="B6" s="15">
        <v>5</v>
      </c>
      <c r="C6" s="3" t="s">
        <v>368</v>
      </c>
      <c r="D6" s="15" t="s">
        <v>369</v>
      </c>
      <c r="E6" s="15"/>
      <c r="F6" s="15">
        <v>1</v>
      </c>
      <c r="G6" s="15">
        <v>5</v>
      </c>
      <c r="H6" s="15">
        <v>2</v>
      </c>
      <c r="I6" s="138"/>
    </row>
    <row r="7" spans="1:9" x14ac:dyDescent="0.4">
      <c r="A7" s="137" t="s">
        <v>363</v>
      </c>
      <c r="B7" s="15">
        <v>7</v>
      </c>
      <c r="C7" s="3" t="s">
        <v>370</v>
      </c>
      <c r="D7" s="15" t="s">
        <v>371</v>
      </c>
      <c r="E7" s="15"/>
      <c r="F7" s="15">
        <v>1</v>
      </c>
      <c r="G7" s="15">
        <v>1</v>
      </c>
      <c r="H7" s="15">
        <v>0</v>
      </c>
      <c r="I7" s="138"/>
    </row>
    <row r="8" spans="1:9" x14ac:dyDescent="0.4">
      <c r="A8" s="220" t="s">
        <v>363</v>
      </c>
      <c r="B8" s="227">
        <v>8</v>
      </c>
      <c r="C8" s="4" t="s">
        <v>372</v>
      </c>
      <c r="D8" s="227" t="s">
        <v>373</v>
      </c>
      <c r="E8" s="227" t="s">
        <v>374</v>
      </c>
      <c r="F8" s="227">
        <v>1</v>
      </c>
      <c r="G8" s="227">
        <v>1</v>
      </c>
      <c r="H8" s="227">
        <v>0</v>
      </c>
      <c r="I8" s="221"/>
    </row>
    <row r="9" spans="1:9" x14ac:dyDescent="0.4">
      <c r="A9" s="229" t="s">
        <v>363</v>
      </c>
      <c r="B9" s="230">
        <v>79</v>
      </c>
      <c r="C9" s="18" t="s">
        <v>375</v>
      </c>
      <c r="D9" s="230" t="s">
        <v>376</v>
      </c>
      <c r="E9" s="230" t="s">
        <v>377</v>
      </c>
      <c r="F9" s="230">
        <v>1</v>
      </c>
      <c r="G9" s="230">
        <v>1</v>
      </c>
      <c r="H9" s="230">
        <v>0</v>
      </c>
      <c r="I9" s="231"/>
    </row>
    <row r="10" spans="1:9" x14ac:dyDescent="0.4">
      <c r="A10" s="219" t="s">
        <v>363</v>
      </c>
      <c r="B10" s="14">
        <v>9</v>
      </c>
      <c r="C10" s="2" t="s">
        <v>378</v>
      </c>
      <c r="D10" s="14" t="s">
        <v>379</v>
      </c>
      <c r="E10" s="14"/>
      <c r="F10" s="14">
        <v>1</v>
      </c>
      <c r="G10" s="14">
        <v>1</v>
      </c>
      <c r="H10" s="14">
        <v>0</v>
      </c>
      <c r="I10" s="174"/>
    </row>
    <row r="11" spans="1:9" x14ac:dyDescent="0.4">
      <c r="A11" s="137" t="s">
        <v>363</v>
      </c>
      <c r="B11" s="15">
        <v>10</v>
      </c>
      <c r="C11" s="3" t="s">
        <v>380</v>
      </c>
      <c r="D11" s="15" t="s">
        <v>381</v>
      </c>
      <c r="E11" s="15"/>
      <c r="F11" s="15">
        <v>1</v>
      </c>
      <c r="G11" s="15">
        <v>1</v>
      </c>
      <c r="H11" s="15"/>
      <c r="I11" s="138"/>
    </row>
    <row r="12" spans="1:9" x14ac:dyDescent="0.4">
      <c r="A12" s="137" t="s">
        <v>363</v>
      </c>
      <c r="B12" s="15">
        <v>98</v>
      </c>
      <c r="C12" s="3" t="s">
        <v>382</v>
      </c>
      <c r="D12" s="15" t="s">
        <v>383</v>
      </c>
      <c r="E12" s="15" t="s">
        <v>384</v>
      </c>
      <c r="F12" s="15">
        <v>1</v>
      </c>
      <c r="G12" s="15">
        <v>1</v>
      </c>
      <c r="H12" s="15">
        <v>0</v>
      </c>
      <c r="I12" s="138"/>
    </row>
    <row r="13" spans="1:9" x14ac:dyDescent="0.4">
      <c r="A13" s="220" t="s">
        <v>363</v>
      </c>
      <c r="B13" s="227">
        <v>11</v>
      </c>
      <c r="C13" s="4" t="s">
        <v>385</v>
      </c>
      <c r="D13" s="227" t="s">
        <v>386</v>
      </c>
      <c r="E13" s="227" t="s">
        <v>387</v>
      </c>
      <c r="F13" s="227">
        <v>1</v>
      </c>
      <c r="G13" s="227">
        <v>5</v>
      </c>
      <c r="H13" s="227">
        <v>1</v>
      </c>
      <c r="I13" s="221"/>
    </row>
    <row r="14" spans="1:9" x14ac:dyDescent="0.4">
      <c r="A14" s="229" t="s">
        <v>363</v>
      </c>
      <c r="B14" s="230">
        <v>12</v>
      </c>
      <c r="C14" s="18" t="s">
        <v>388</v>
      </c>
      <c r="D14" s="230" t="s">
        <v>389</v>
      </c>
      <c r="E14" s="230" t="s">
        <v>390</v>
      </c>
      <c r="F14" s="230">
        <v>1</v>
      </c>
      <c r="G14" s="230">
        <v>5</v>
      </c>
      <c r="H14" s="230">
        <v>1</v>
      </c>
      <c r="I14" s="231"/>
    </row>
    <row r="15" spans="1:9" x14ac:dyDescent="0.4">
      <c r="A15" s="219" t="s">
        <v>363</v>
      </c>
      <c r="B15" s="14">
        <v>13</v>
      </c>
      <c r="C15" s="2" t="s">
        <v>391</v>
      </c>
      <c r="D15" s="14" t="s">
        <v>392</v>
      </c>
      <c r="E15" s="14"/>
      <c r="F15" s="14">
        <v>1</v>
      </c>
      <c r="G15" s="14">
        <v>1</v>
      </c>
      <c r="H15" s="14"/>
      <c r="I15" s="174"/>
    </row>
    <row r="16" spans="1:9" x14ac:dyDescent="0.4">
      <c r="A16" s="137" t="s">
        <v>363</v>
      </c>
      <c r="B16" s="15">
        <v>14</v>
      </c>
      <c r="C16" s="3" t="s">
        <v>393</v>
      </c>
      <c r="D16" s="15" t="s">
        <v>394</v>
      </c>
      <c r="E16" s="15"/>
      <c r="F16" s="15">
        <v>1</v>
      </c>
      <c r="G16" s="15">
        <v>5</v>
      </c>
      <c r="H16" s="15">
        <v>3</v>
      </c>
      <c r="I16" s="138"/>
    </row>
    <row r="17" spans="1:9" x14ac:dyDescent="0.4">
      <c r="A17" s="137" t="s">
        <v>363</v>
      </c>
      <c r="B17" s="15">
        <v>15</v>
      </c>
      <c r="C17" s="3" t="s">
        <v>395</v>
      </c>
      <c r="D17" s="15" t="s">
        <v>396</v>
      </c>
      <c r="E17" s="15" t="s">
        <v>397</v>
      </c>
      <c r="F17" s="15">
        <v>1</v>
      </c>
      <c r="G17" s="15">
        <v>2</v>
      </c>
      <c r="H17" s="15">
        <v>0</v>
      </c>
      <c r="I17" s="138"/>
    </row>
    <row r="18" spans="1:9" x14ac:dyDescent="0.4">
      <c r="A18" s="220" t="s">
        <v>363</v>
      </c>
      <c r="B18" s="227">
        <v>16</v>
      </c>
      <c r="C18" s="4" t="s">
        <v>398</v>
      </c>
      <c r="D18" s="227" t="s">
        <v>399</v>
      </c>
      <c r="E18" s="227"/>
      <c r="F18" s="227">
        <v>1</v>
      </c>
      <c r="G18" s="227">
        <v>5</v>
      </c>
      <c r="H18" s="227">
        <v>0</v>
      </c>
      <c r="I18" s="221" t="s">
        <v>400</v>
      </c>
    </row>
    <row r="19" spans="1:9" x14ac:dyDescent="0.4">
      <c r="A19" s="229" t="s">
        <v>401</v>
      </c>
      <c r="B19" s="230">
        <v>88</v>
      </c>
      <c r="C19" s="18" t="s">
        <v>402</v>
      </c>
      <c r="D19" s="230" t="s">
        <v>403</v>
      </c>
      <c r="E19" s="230"/>
      <c r="F19" s="230">
        <v>1</v>
      </c>
      <c r="G19" s="230">
        <v>1</v>
      </c>
      <c r="H19" s="230">
        <v>0</v>
      </c>
      <c r="I19" s="231"/>
    </row>
    <row r="20" spans="1:9" x14ac:dyDescent="0.4">
      <c r="A20" s="219" t="s">
        <v>363</v>
      </c>
      <c r="B20" s="14">
        <v>17</v>
      </c>
      <c r="C20" s="2" t="s">
        <v>404</v>
      </c>
      <c r="D20" s="14" t="s">
        <v>405</v>
      </c>
      <c r="E20" s="14"/>
      <c r="F20" s="14">
        <v>1</v>
      </c>
      <c r="G20" s="14">
        <v>1</v>
      </c>
      <c r="H20" s="14"/>
      <c r="I20" s="174"/>
    </row>
    <row r="21" spans="1:9" x14ac:dyDescent="0.4">
      <c r="A21" s="137" t="s">
        <v>363</v>
      </c>
      <c r="B21" s="15">
        <v>95</v>
      </c>
      <c r="C21" s="3" t="s">
        <v>406</v>
      </c>
      <c r="D21" s="15" t="s">
        <v>407</v>
      </c>
      <c r="E21" s="15" t="s">
        <v>408</v>
      </c>
      <c r="F21" s="15">
        <v>1</v>
      </c>
      <c r="G21" s="15">
        <v>1</v>
      </c>
      <c r="H21" s="15">
        <v>0</v>
      </c>
      <c r="I21" s="138"/>
    </row>
    <row r="22" spans="1:9" x14ac:dyDescent="0.4">
      <c r="A22" s="137" t="s">
        <v>363</v>
      </c>
      <c r="B22" s="15">
        <v>18</v>
      </c>
      <c r="C22" s="3" t="s">
        <v>409</v>
      </c>
      <c r="D22" s="15" t="s">
        <v>410</v>
      </c>
      <c r="E22" s="15"/>
      <c r="F22" s="15">
        <v>1</v>
      </c>
      <c r="G22" s="15">
        <v>1</v>
      </c>
      <c r="H22" s="15">
        <v>0</v>
      </c>
      <c r="I22" s="138"/>
    </row>
    <row r="23" spans="1:9" x14ac:dyDescent="0.4">
      <c r="A23" s="220" t="s">
        <v>363</v>
      </c>
      <c r="B23" s="227">
        <v>20</v>
      </c>
      <c r="C23" s="4" t="s">
        <v>411</v>
      </c>
      <c r="D23" s="227" t="s">
        <v>412</v>
      </c>
      <c r="E23" s="227"/>
      <c r="F23" s="227">
        <v>1</v>
      </c>
      <c r="G23" s="227">
        <v>2</v>
      </c>
      <c r="H23" s="227">
        <v>0</v>
      </c>
      <c r="I23" s="221"/>
    </row>
    <row r="24" spans="1:9" x14ac:dyDescent="0.4">
      <c r="A24" s="229" t="s">
        <v>363</v>
      </c>
      <c r="B24" s="230">
        <v>22</v>
      </c>
      <c r="C24" s="18" t="s">
        <v>413</v>
      </c>
      <c r="D24" s="230" t="s">
        <v>414</v>
      </c>
      <c r="E24" s="230" t="s">
        <v>415</v>
      </c>
      <c r="F24" s="230">
        <v>1</v>
      </c>
      <c r="G24" s="230">
        <v>2</v>
      </c>
      <c r="H24" s="230">
        <v>0</v>
      </c>
      <c r="I24" s="231"/>
    </row>
    <row r="25" spans="1:9" x14ac:dyDescent="0.4">
      <c r="A25" s="219" t="s">
        <v>363</v>
      </c>
      <c r="B25" s="14">
        <v>23</v>
      </c>
      <c r="C25" s="2" t="s">
        <v>416</v>
      </c>
      <c r="D25" s="14" t="s">
        <v>417</v>
      </c>
      <c r="E25" s="14"/>
      <c r="F25" s="14">
        <v>1</v>
      </c>
      <c r="G25" s="14">
        <v>2</v>
      </c>
      <c r="H25" s="14">
        <v>0</v>
      </c>
      <c r="I25" s="174"/>
    </row>
    <row r="26" spans="1:9" x14ac:dyDescent="0.4">
      <c r="A26" s="137" t="s">
        <v>363</v>
      </c>
      <c r="B26" s="15">
        <v>89</v>
      </c>
      <c r="C26" s="3" t="s">
        <v>418</v>
      </c>
      <c r="D26" s="15" t="s">
        <v>419</v>
      </c>
      <c r="E26" s="15" t="s">
        <v>420</v>
      </c>
      <c r="F26" s="15">
        <v>1</v>
      </c>
      <c r="G26" s="15">
        <v>2</v>
      </c>
      <c r="H26" s="15">
        <v>1</v>
      </c>
      <c r="I26" s="138"/>
    </row>
    <row r="27" spans="1:9" x14ac:dyDescent="0.4">
      <c r="A27" s="137" t="s">
        <v>363</v>
      </c>
      <c r="B27" s="15">
        <v>26</v>
      </c>
      <c r="C27" s="3" t="s">
        <v>421</v>
      </c>
      <c r="D27" s="15" t="s">
        <v>422</v>
      </c>
      <c r="E27" s="15" t="s">
        <v>423</v>
      </c>
      <c r="F27" s="15">
        <v>1</v>
      </c>
      <c r="G27" s="15">
        <v>5</v>
      </c>
      <c r="H27" s="15">
        <v>1</v>
      </c>
      <c r="I27" s="138"/>
    </row>
    <row r="28" spans="1:9" x14ac:dyDescent="0.4">
      <c r="A28" s="220" t="s">
        <v>363</v>
      </c>
      <c r="B28" s="227">
        <v>27</v>
      </c>
      <c r="C28" s="4" t="s">
        <v>424</v>
      </c>
      <c r="D28" s="227" t="s">
        <v>425</v>
      </c>
      <c r="E28" s="227" t="s">
        <v>426</v>
      </c>
      <c r="F28" s="227">
        <v>1</v>
      </c>
      <c r="G28" s="227">
        <v>2</v>
      </c>
      <c r="H28" s="227">
        <v>0</v>
      </c>
      <c r="I28" s="221"/>
    </row>
    <row r="29" spans="1:9" x14ac:dyDescent="0.4">
      <c r="A29" s="229" t="s">
        <v>363</v>
      </c>
      <c r="B29" s="230">
        <v>28</v>
      </c>
      <c r="C29" s="18" t="s">
        <v>427</v>
      </c>
      <c r="D29" s="230" t="s">
        <v>428</v>
      </c>
      <c r="E29" s="230" t="s">
        <v>429</v>
      </c>
      <c r="F29" s="230">
        <v>1</v>
      </c>
      <c r="G29" s="230">
        <v>3</v>
      </c>
      <c r="H29" s="230">
        <v>1</v>
      </c>
      <c r="I29" s="231"/>
    </row>
    <row r="30" spans="1:9" x14ac:dyDescent="0.4">
      <c r="A30" s="219" t="s">
        <v>363</v>
      </c>
      <c r="B30" s="14">
        <v>29</v>
      </c>
      <c r="C30" s="2" t="s">
        <v>430</v>
      </c>
      <c r="D30" s="14" t="s">
        <v>431</v>
      </c>
      <c r="E30" s="14" t="s">
        <v>432</v>
      </c>
      <c r="F30" s="14">
        <v>1</v>
      </c>
      <c r="G30" s="14">
        <v>1</v>
      </c>
      <c r="H30" s="14">
        <v>0</v>
      </c>
      <c r="I30" s="174"/>
    </row>
    <row r="31" spans="1:9" x14ac:dyDescent="0.4">
      <c r="A31" s="137" t="s">
        <v>363</v>
      </c>
      <c r="B31" s="15">
        <v>30</v>
      </c>
      <c r="C31" s="3" t="s">
        <v>433</v>
      </c>
      <c r="D31" s="15" t="s">
        <v>434</v>
      </c>
      <c r="E31" s="15" t="s">
        <v>435</v>
      </c>
      <c r="F31" s="15">
        <v>1</v>
      </c>
      <c r="G31" s="15">
        <v>2</v>
      </c>
      <c r="H31" s="15">
        <v>0</v>
      </c>
      <c r="I31" s="138"/>
    </row>
    <row r="32" spans="1:9" x14ac:dyDescent="0.4">
      <c r="A32" s="137" t="s">
        <v>363</v>
      </c>
      <c r="B32" s="15">
        <v>96</v>
      </c>
      <c r="C32" s="3" t="s">
        <v>436</v>
      </c>
      <c r="D32" s="15" t="s">
        <v>437</v>
      </c>
      <c r="E32" s="15" t="s">
        <v>438</v>
      </c>
      <c r="F32" s="15">
        <v>1</v>
      </c>
      <c r="G32" s="15">
        <v>1</v>
      </c>
      <c r="H32" s="15">
        <v>0</v>
      </c>
      <c r="I32" s="138"/>
    </row>
    <row r="33" spans="1:9" x14ac:dyDescent="0.4">
      <c r="A33" s="220" t="s">
        <v>363</v>
      </c>
      <c r="B33" s="227">
        <v>72</v>
      </c>
      <c r="C33" s="4" t="s">
        <v>439</v>
      </c>
      <c r="D33" s="227" t="s">
        <v>440</v>
      </c>
      <c r="E33" s="227" t="s">
        <v>441</v>
      </c>
      <c r="F33" s="227">
        <v>1</v>
      </c>
      <c r="G33" s="227">
        <v>2</v>
      </c>
      <c r="H33" s="227">
        <v>1</v>
      </c>
      <c r="I33" s="221"/>
    </row>
    <row r="34" spans="1:9" x14ac:dyDescent="0.4">
      <c r="A34" s="229" t="s">
        <v>363</v>
      </c>
      <c r="B34" s="230">
        <v>32</v>
      </c>
      <c r="C34" s="18" t="s">
        <v>442</v>
      </c>
      <c r="D34" s="230" t="s">
        <v>443</v>
      </c>
      <c r="E34" s="230"/>
      <c r="F34" s="230">
        <v>1</v>
      </c>
      <c r="G34" s="230">
        <v>3</v>
      </c>
      <c r="H34" s="230">
        <v>1</v>
      </c>
      <c r="I34" s="231"/>
    </row>
    <row r="35" spans="1:9" x14ac:dyDescent="0.4">
      <c r="A35" s="219" t="s">
        <v>363</v>
      </c>
      <c r="B35" s="14">
        <v>33</v>
      </c>
      <c r="C35" s="2" t="s">
        <v>444</v>
      </c>
      <c r="D35" s="14" t="s">
        <v>445</v>
      </c>
      <c r="E35" s="14" t="s">
        <v>446</v>
      </c>
      <c r="F35" s="14">
        <v>1</v>
      </c>
      <c r="G35" s="14">
        <v>5</v>
      </c>
      <c r="H35" s="14">
        <v>0</v>
      </c>
      <c r="I35" s="174"/>
    </row>
    <row r="36" spans="1:9" x14ac:dyDescent="0.4">
      <c r="A36" s="137" t="s">
        <v>363</v>
      </c>
      <c r="B36" s="15">
        <v>34</v>
      </c>
      <c r="C36" s="3" t="s">
        <v>447</v>
      </c>
      <c r="D36" s="15" t="s">
        <v>448</v>
      </c>
      <c r="E36" s="15" t="s">
        <v>449</v>
      </c>
      <c r="F36" s="15">
        <v>1</v>
      </c>
      <c r="G36" s="15">
        <v>2</v>
      </c>
      <c r="H36" s="15">
        <v>1</v>
      </c>
      <c r="I36" s="138"/>
    </row>
    <row r="37" spans="1:9" x14ac:dyDescent="0.4">
      <c r="A37" s="137" t="s">
        <v>363</v>
      </c>
      <c r="B37" s="15">
        <v>35</v>
      </c>
      <c r="C37" s="3" t="s">
        <v>450</v>
      </c>
      <c r="D37" s="15" t="s">
        <v>451</v>
      </c>
      <c r="E37" s="15" t="s">
        <v>452</v>
      </c>
      <c r="F37" s="15">
        <v>1</v>
      </c>
      <c r="G37" s="15">
        <v>2</v>
      </c>
      <c r="H37" s="15">
        <v>0</v>
      </c>
      <c r="I37" s="138"/>
    </row>
    <row r="38" spans="1:9" x14ac:dyDescent="0.4">
      <c r="A38" s="220" t="s">
        <v>363</v>
      </c>
      <c r="B38" s="227">
        <v>36</v>
      </c>
      <c r="C38" s="4" t="s">
        <v>453</v>
      </c>
      <c r="D38" s="227" t="s">
        <v>454</v>
      </c>
      <c r="E38" s="227"/>
      <c r="F38" s="227">
        <v>1</v>
      </c>
      <c r="G38" s="227">
        <v>1</v>
      </c>
      <c r="H38" s="227">
        <v>0</v>
      </c>
      <c r="I38" s="221"/>
    </row>
    <row r="39" spans="1:9" x14ac:dyDescent="0.4">
      <c r="A39" s="229" t="s">
        <v>363</v>
      </c>
      <c r="B39" s="230">
        <v>37</v>
      </c>
      <c r="C39" s="18" t="s">
        <v>455</v>
      </c>
      <c r="D39" s="230" t="s">
        <v>456</v>
      </c>
      <c r="E39" s="230" t="s">
        <v>457</v>
      </c>
      <c r="F39" s="230">
        <v>1</v>
      </c>
      <c r="G39" s="230">
        <v>5</v>
      </c>
      <c r="H39" s="230">
        <v>1</v>
      </c>
      <c r="I39" s="231"/>
    </row>
    <row r="40" spans="1:9" x14ac:dyDescent="0.4">
      <c r="A40" s="219" t="s">
        <v>363</v>
      </c>
      <c r="B40" s="14">
        <v>38</v>
      </c>
      <c r="C40" s="2" t="s">
        <v>458</v>
      </c>
      <c r="D40" s="14" t="s">
        <v>459</v>
      </c>
      <c r="E40" s="14" t="s">
        <v>460</v>
      </c>
      <c r="F40" s="14">
        <v>1</v>
      </c>
      <c r="G40" s="14">
        <v>2</v>
      </c>
      <c r="H40" s="14">
        <v>0</v>
      </c>
      <c r="I40" s="174"/>
    </row>
    <row r="41" spans="1:9" x14ac:dyDescent="0.4">
      <c r="A41" s="137" t="s">
        <v>363</v>
      </c>
      <c r="B41" s="15">
        <v>39</v>
      </c>
      <c r="C41" s="3" t="s">
        <v>461</v>
      </c>
      <c r="D41" s="15" t="s">
        <v>462</v>
      </c>
      <c r="E41" s="15" t="s">
        <v>463</v>
      </c>
      <c r="F41" s="15">
        <v>1</v>
      </c>
      <c r="G41" s="15">
        <v>2</v>
      </c>
      <c r="H41" s="15">
        <v>0</v>
      </c>
      <c r="I41" s="138"/>
    </row>
    <row r="42" spans="1:9" x14ac:dyDescent="0.4">
      <c r="A42" s="137" t="s">
        <v>363</v>
      </c>
      <c r="B42" s="15">
        <v>41</v>
      </c>
      <c r="C42" s="3" t="s">
        <v>464</v>
      </c>
      <c r="D42" s="15" t="s">
        <v>465</v>
      </c>
      <c r="E42" s="15"/>
      <c r="F42" s="15">
        <v>1</v>
      </c>
      <c r="G42" s="15">
        <v>1</v>
      </c>
      <c r="H42" s="15">
        <v>0</v>
      </c>
      <c r="I42" s="138"/>
    </row>
    <row r="43" spans="1:9" x14ac:dyDescent="0.4">
      <c r="A43" s="220" t="s">
        <v>363</v>
      </c>
      <c r="B43" s="227">
        <v>42</v>
      </c>
      <c r="C43" s="4" t="s">
        <v>466</v>
      </c>
      <c r="D43" s="227" t="s">
        <v>467</v>
      </c>
      <c r="E43" s="227" t="s">
        <v>468</v>
      </c>
      <c r="F43" s="227">
        <v>1</v>
      </c>
      <c r="G43" s="227">
        <v>5</v>
      </c>
      <c r="H43" s="227">
        <v>0</v>
      </c>
      <c r="I43" s="221"/>
    </row>
    <row r="44" spans="1:9" x14ac:dyDescent="0.4">
      <c r="A44" s="229" t="s">
        <v>363</v>
      </c>
      <c r="B44" s="230">
        <v>43</v>
      </c>
      <c r="C44" s="18" t="s">
        <v>469</v>
      </c>
      <c r="D44" s="230" t="s">
        <v>470</v>
      </c>
      <c r="E44" s="230"/>
      <c r="F44" s="230">
        <v>1</v>
      </c>
      <c r="G44" s="230">
        <v>2</v>
      </c>
      <c r="H44" s="230">
        <v>0</v>
      </c>
      <c r="I44" s="231" t="s">
        <v>471</v>
      </c>
    </row>
    <row r="45" spans="1:9" x14ac:dyDescent="0.4">
      <c r="A45" s="235" t="s">
        <v>363</v>
      </c>
      <c r="B45" s="181">
        <v>44</v>
      </c>
      <c r="C45" s="194" t="s">
        <v>472</v>
      </c>
      <c r="D45" s="181" t="s">
        <v>473</v>
      </c>
      <c r="E45" s="181" t="s">
        <v>474</v>
      </c>
      <c r="F45" s="181">
        <v>1</v>
      </c>
      <c r="G45" s="181">
        <v>2</v>
      </c>
      <c r="H45" s="181">
        <v>0</v>
      </c>
      <c r="I45" s="228"/>
    </row>
    <row r="46" spans="1:9" x14ac:dyDescent="0.4">
      <c r="A46" s="137" t="s">
        <v>363</v>
      </c>
      <c r="B46" s="15">
        <v>45</v>
      </c>
      <c r="C46" s="3" t="s">
        <v>475</v>
      </c>
      <c r="D46" s="15" t="s">
        <v>476</v>
      </c>
      <c r="E46" s="15" t="s">
        <v>477</v>
      </c>
      <c r="F46" s="15">
        <v>1</v>
      </c>
      <c r="G46" s="15">
        <v>2</v>
      </c>
      <c r="H46" s="15">
        <v>0</v>
      </c>
      <c r="I46" s="138"/>
    </row>
    <row r="47" spans="1:9" x14ac:dyDescent="0.4">
      <c r="A47" s="137" t="s">
        <v>363</v>
      </c>
      <c r="B47" s="15">
        <v>47</v>
      </c>
      <c r="C47" s="3" t="s">
        <v>478</v>
      </c>
      <c r="D47" s="15" t="s">
        <v>479</v>
      </c>
      <c r="E47" s="15"/>
      <c r="F47" s="15">
        <v>1</v>
      </c>
      <c r="G47" s="15">
        <v>2</v>
      </c>
      <c r="H47" s="15">
        <v>0</v>
      </c>
      <c r="I47" s="138"/>
    </row>
    <row r="48" spans="1:9" x14ac:dyDescent="0.4">
      <c r="A48" s="220" t="s">
        <v>363</v>
      </c>
      <c r="B48" s="227">
        <v>90</v>
      </c>
      <c r="C48" s="4" t="s">
        <v>480</v>
      </c>
      <c r="D48" s="227" t="s">
        <v>481</v>
      </c>
      <c r="E48" s="227" t="s">
        <v>482</v>
      </c>
      <c r="F48" s="227">
        <v>1</v>
      </c>
      <c r="G48" s="227">
        <v>1</v>
      </c>
      <c r="H48" s="227">
        <v>0</v>
      </c>
      <c r="I48" s="221"/>
    </row>
    <row r="49" spans="1:9" x14ac:dyDescent="0.4">
      <c r="A49" s="229" t="s">
        <v>363</v>
      </c>
      <c r="B49" s="230">
        <v>49</v>
      </c>
      <c r="C49" s="18" t="s">
        <v>483</v>
      </c>
      <c r="D49" s="230" t="s">
        <v>484</v>
      </c>
      <c r="E49" s="230" t="s">
        <v>485</v>
      </c>
      <c r="F49" s="230">
        <v>1</v>
      </c>
      <c r="G49" s="230">
        <v>1</v>
      </c>
      <c r="H49" s="230">
        <v>0</v>
      </c>
      <c r="I49" s="231"/>
    </row>
    <row r="50" spans="1:9" x14ac:dyDescent="0.4">
      <c r="A50" s="219" t="s">
        <v>363</v>
      </c>
      <c r="B50" s="14">
        <v>50</v>
      </c>
      <c r="C50" s="2" t="s">
        <v>486</v>
      </c>
      <c r="D50" s="14" t="s">
        <v>487</v>
      </c>
      <c r="E50" s="14" t="s">
        <v>488</v>
      </c>
      <c r="F50" s="14">
        <v>1</v>
      </c>
      <c r="G50" s="14">
        <v>5</v>
      </c>
      <c r="H50" s="14">
        <v>0</v>
      </c>
      <c r="I50" s="174"/>
    </row>
    <row r="51" spans="1:9" x14ac:dyDescent="0.4">
      <c r="A51" s="137" t="s">
        <v>363</v>
      </c>
      <c r="B51" s="15">
        <v>53</v>
      </c>
      <c r="C51" s="3" t="s">
        <v>489</v>
      </c>
      <c r="D51" s="15" t="s">
        <v>490</v>
      </c>
      <c r="E51" s="15" t="s">
        <v>491</v>
      </c>
      <c r="F51" s="15">
        <v>1</v>
      </c>
      <c r="G51" s="15">
        <v>2</v>
      </c>
      <c r="H51" s="15">
        <v>0</v>
      </c>
      <c r="I51" s="138"/>
    </row>
    <row r="52" spans="1:9" x14ac:dyDescent="0.4">
      <c r="A52" s="137" t="s">
        <v>363</v>
      </c>
      <c r="B52" s="15">
        <v>73</v>
      </c>
      <c r="C52" s="3" t="s">
        <v>492</v>
      </c>
      <c r="D52" s="15" t="s">
        <v>493</v>
      </c>
      <c r="E52" s="15" t="s">
        <v>494</v>
      </c>
      <c r="F52" s="15">
        <v>1</v>
      </c>
      <c r="G52" s="15">
        <v>2</v>
      </c>
      <c r="H52" s="15">
        <v>0</v>
      </c>
      <c r="I52" s="138"/>
    </row>
    <row r="53" spans="1:9" x14ac:dyDescent="0.4">
      <c r="A53" s="220" t="s">
        <v>363</v>
      </c>
      <c r="B53" s="227">
        <v>54</v>
      </c>
      <c r="C53" s="4" t="s">
        <v>495</v>
      </c>
      <c r="D53" s="227" t="s">
        <v>496</v>
      </c>
      <c r="E53" s="227"/>
      <c r="F53" s="227">
        <v>1</v>
      </c>
      <c r="G53" s="227">
        <v>1</v>
      </c>
      <c r="H53" s="227">
        <v>0</v>
      </c>
      <c r="I53" s="221"/>
    </row>
    <row r="54" spans="1:9" x14ac:dyDescent="0.4">
      <c r="A54" s="229" t="s">
        <v>363</v>
      </c>
      <c r="B54" s="230">
        <v>56</v>
      </c>
      <c r="C54" s="18" t="s">
        <v>497</v>
      </c>
      <c r="D54" s="230" t="s">
        <v>498</v>
      </c>
      <c r="E54" s="230"/>
      <c r="F54" s="230">
        <v>1</v>
      </c>
      <c r="G54" s="230">
        <v>1</v>
      </c>
      <c r="H54" s="230">
        <v>0</v>
      </c>
      <c r="I54" s="231"/>
    </row>
    <row r="55" spans="1:9" x14ac:dyDescent="0.4">
      <c r="A55" s="219" t="s">
        <v>363</v>
      </c>
      <c r="B55" s="14">
        <v>58</v>
      </c>
      <c r="C55" s="2" t="s">
        <v>499</v>
      </c>
      <c r="D55" s="14" t="s">
        <v>500</v>
      </c>
      <c r="E55" s="14" t="s">
        <v>501</v>
      </c>
      <c r="F55" s="14">
        <v>1</v>
      </c>
      <c r="G55" s="14">
        <v>1</v>
      </c>
      <c r="H55" s="14">
        <v>0</v>
      </c>
      <c r="I55" s="174"/>
    </row>
    <row r="56" spans="1:9" x14ac:dyDescent="0.4">
      <c r="A56" s="137" t="s">
        <v>401</v>
      </c>
      <c r="B56" s="15">
        <v>59</v>
      </c>
      <c r="C56" s="3" t="s">
        <v>502</v>
      </c>
      <c r="D56" s="15" t="s">
        <v>503</v>
      </c>
      <c r="E56" s="15"/>
      <c r="F56" s="15">
        <v>1</v>
      </c>
      <c r="G56" s="15">
        <v>1</v>
      </c>
      <c r="H56" s="15"/>
      <c r="I56" s="138"/>
    </row>
    <row r="57" spans="1:9" x14ac:dyDescent="0.4">
      <c r="A57" s="137" t="s">
        <v>363</v>
      </c>
      <c r="B57" s="15">
        <v>60</v>
      </c>
      <c r="C57" s="3" t="s">
        <v>504</v>
      </c>
      <c r="D57" s="15" t="s">
        <v>505</v>
      </c>
      <c r="E57" s="15" t="s">
        <v>506</v>
      </c>
      <c r="F57" s="15">
        <v>1</v>
      </c>
      <c r="G57" s="15">
        <v>1</v>
      </c>
      <c r="H57" s="15">
        <v>0</v>
      </c>
      <c r="I57" s="138"/>
    </row>
    <row r="58" spans="1:9" x14ac:dyDescent="0.4">
      <c r="A58" s="220" t="s">
        <v>363</v>
      </c>
      <c r="B58" s="227">
        <v>91</v>
      </c>
      <c r="C58" s="4" t="s">
        <v>507</v>
      </c>
      <c r="D58" s="227" t="s">
        <v>508</v>
      </c>
      <c r="E58" s="227" t="s">
        <v>509</v>
      </c>
      <c r="F58" s="227">
        <v>1</v>
      </c>
      <c r="G58" s="227">
        <v>1</v>
      </c>
      <c r="H58" s="227">
        <v>0</v>
      </c>
      <c r="I58" s="221"/>
    </row>
    <row r="59" spans="1:9" x14ac:dyDescent="0.4">
      <c r="A59" s="229" t="s">
        <v>363</v>
      </c>
      <c r="B59" s="230">
        <v>62</v>
      </c>
      <c r="C59" s="18" t="s">
        <v>510</v>
      </c>
      <c r="D59" s="230" t="s">
        <v>511</v>
      </c>
      <c r="E59" s="230"/>
      <c r="F59" s="230">
        <v>1</v>
      </c>
      <c r="G59" s="230">
        <v>1</v>
      </c>
      <c r="H59" s="230">
        <v>0</v>
      </c>
      <c r="I59" s="231" t="s">
        <v>512</v>
      </c>
    </row>
    <row r="60" spans="1:9" x14ac:dyDescent="0.4">
      <c r="A60" s="219" t="s">
        <v>363</v>
      </c>
      <c r="B60" s="14">
        <v>64</v>
      </c>
      <c r="C60" s="2" t="s">
        <v>513</v>
      </c>
      <c r="D60" s="14" t="s">
        <v>514</v>
      </c>
      <c r="E60" s="14" t="s">
        <v>515</v>
      </c>
      <c r="F60" s="14">
        <v>1</v>
      </c>
      <c r="G60" s="14">
        <v>1</v>
      </c>
      <c r="H60" s="14">
        <v>0</v>
      </c>
      <c r="I60" s="174"/>
    </row>
    <row r="61" spans="1:9" x14ac:dyDescent="0.4">
      <c r="A61" s="137" t="s">
        <v>363</v>
      </c>
      <c r="B61" s="15">
        <v>65</v>
      </c>
      <c r="C61" s="3" t="s">
        <v>516</v>
      </c>
      <c r="D61" s="15" t="s">
        <v>517</v>
      </c>
      <c r="E61" s="15" t="s">
        <v>518</v>
      </c>
      <c r="F61" s="15">
        <v>1</v>
      </c>
      <c r="G61" s="15">
        <v>5</v>
      </c>
      <c r="H61" s="15">
        <v>0</v>
      </c>
      <c r="I61" s="138"/>
    </row>
    <row r="62" spans="1:9" x14ac:dyDescent="0.4">
      <c r="A62" s="137" t="s">
        <v>363</v>
      </c>
      <c r="B62" s="15">
        <v>66</v>
      </c>
      <c r="C62" s="3" t="s">
        <v>519</v>
      </c>
      <c r="D62" s="15" t="s">
        <v>520</v>
      </c>
      <c r="E62" s="15"/>
      <c r="F62" s="15">
        <v>1</v>
      </c>
      <c r="G62" s="15">
        <v>1</v>
      </c>
      <c r="H62" s="15">
        <v>0</v>
      </c>
      <c r="I62" s="138"/>
    </row>
    <row r="63" spans="1:9" x14ac:dyDescent="0.4">
      <c r="A63" s="220" t="s">
        <v>363</v>
      </c>
      <c r="B63" s="227">
        <v>67</v>
      </c>
      <c r="C63" s="4" t="s">
        <v>521</v>
      </c>
      <c r="D63" s="227" t="s">
        <v>522</v>
      </c>
      <c r="E63" s="227" t="s">
        <v>523</v>
      </c>
      <c r="F63" s="227">
        <v>1</v>
      </c>
      <c r="G63" s="227">
        <v>1</v>
      </c>
      <c r="H63" s="227">
        <v>0</v>
      </c>
      <c r="I63" s="221"/>
    </row>
    <row r="64" spans="1:9" x14ac:dyDescent="0.4">
      <c r="A64" s="229" t="s">
        <v>363</v>
      </c>
      <c r="B64" s="230">
        <v>68</v>
      </c>
      <c r="C64" s="18" t="s">
        <v>524</v>
      </c>
      <c r="D64" s="230" t="s">
        <v>525</v>
      </c>
      <c r="E64" s="230" t="s">
        <v>526</v>
      </c>
      <c r="F64" s="230">
        <v>1</v>
      </c>
      <c r="G64" s="230">
        <v>5</v>
      </c>
      <c r="H64" s="230">
        <v>0</v>
      </c>
      <c r="I64" s="231"/>
    </row>
    <row r="65" spans="1:9" x14ac:dyDescent="0.4">
      <c r="A65" s="219" t="s">
        <v>363</v>
      </c>
      <c r="B65" s="14">
        <v>74</v>
      </c>
      <c r="C65" s="2" t="s">
        <v>527</v>
      </c>
      <c r="D65" s="14" t="s">
        <v>528</v>
      </c>
      <c r="E65" s="14" t="s">
        <v>529</v>
      </c>
      <c r="F65" s="14">
        <v>1</v>
      </c>
      <c r="G65" s="14">
        <v>1</v>
      </c>
      <c r="H65" s="14">
        <v>0</v>
      </c>
      <c r="I65" s="174"/>
    </row>
    <row r="66" spans="1:9" x14ac:dyDescent="0.4">
      <c r="A66" s="137" t="s">
        <v>363</v>
      </c>
      <c r="B66" s="15">
        <v>75</v>
      </c>
      <c r="C66" s="3" t="s">
        <v>530</v>
      </c>
      <c r="D66" s="15" t="s">
        <v>531</v>
      </c>
      <c r="E66" s="15" t="s">
        <v>532</v>
      </c>
      <c r="F66" s="15">
        <v>1</v>
      </c>
      <c r="G66" s="15">
        <v>1</v>
      </c>
      <c r="H66" s="15">
        <v>0</v>
      </c>
      <c r="I66" s="138"/>
    </row>
    <row r="67" spans="1:9" x14ac:dyDescent="0.4">
      <c r="A67" s="137" t="s">
        <v>363</v>
      </c>
      <c r="B67" s="15">
        <v>76</v>
      </c>
      <c r="C67" s="3" t="s">
        <v>533</v>
      </c>
      <c r="D67" s="15" t="s">
        <v>534</v>
      </c>
      <c r="E67" s="15" t="s">
        <v>535</v>
      </c>
      <c r="F67" s="15">
        <v>1</v>
      </c>
      <c r="G67" s="15">
        <v>1</v>
      </c>
      <c r="H67" s="15">
        <v>0</v>
      </c>
      <c r="I67" s="138"/>
    </row>
    <row r="68" spans="1:9" x14ac:dyDescent="0.4">
      <c r="A68" s="220" t="s">
        <v>363</v>
      </c>
      <c r="B68" s="227">
        <v>77</v>
      </c>
      <c r="C68" s="4" t="s">
        <v>536</v>
      </c>
      <c r="D68" s="227" t="s">
        <v>537</v>
      </c>
      <c r="E68" s="227" t="s">
        <v>538</v>
      </c>
      <c r="F68" s="227">
        <v>1</v>
      </c>
      <c r="G68" s="227">
        <v>1</v>
      </c>
      <c r="H68" s="227">
        <v>0</v>
      </c>
      <c r="I68" s="221"/>
    </row>
    <row r="69" spans="1:9" x14ac:dyDescent="0.4">
      <c r="A69" s="229" t="s">
        <v>363</v>
      </c>
      <c r="B69" s="230">
        <v>78</v>
      </c>
      <c r="C69" s="18" t="s">
        <v>539</v>
      </c>
      <c r="D69" s="230" t="s">
        <v>540</v>
      </c>
      <c r="E69" s="230" t="s">
        <v>541</v>
      </c>
      <c r="F69" s="230">
        <v>1</v>
      </c>
      <c r="G69" s="230">
        <v>1</v>
      </c>
      <c r="H69" s="230">
        <v>0</v>
      </c>
      <c r="I69" s="231"/>
    </row>
    <row r="70" spans="1:9" x14ac:dyDescent="0.4">
      <c r="A70" s="219" t="s">
        <v>363</v>
      </c>
      <c r="B70" s="14">
        <v>85</v>
      </c>
      <c r="C70" s="2" t="s">
        <v>542</v>
      </c>
      <c r="D70" s="14" t="s">
        <v>543</v>
      </c>
      <c r="E70" s="14" t="s">
        <v>544</v>
      </c>
      <c r="F70" s="14">
        <v>1</v>
      </c>
      <c r="G70" s="14">
        <v>1</v>
      </c>
      <c r="H70" s="14">
        <v>0</v>
      </c>
      <c r="I70" s="174"/>
    </row>
    <row r="71" spans="1:9" x14ac:dyDescent="0.4">
      <c r="A71" s="137" t="s">
        <v>363</v>
      </c>
      <c r="B71" s="15">
        <v>81</v>
      </c>
      <c r="C71" s="3" t="s">
        <v>545</v>
      </c>
      <c r="D71" s="15" t="s">
        <v>546</v>
      </c>
      <c r="E71" s="15" t="s">
        <v>547</v>
      </c>
      <c r="F71" s="15">
        <v>1</v>
      </c>
      <c r="G71" s="15">
        <v>1</v>
      </c>
      <c r="H71" s="15">
        <v>0</v>
      </c>
      <c r="I71" s="138"/>
    </row>
    <row r="72" spans="1:9" x14ac:dyDescent="0.4">
      <c r="A72" s="137" t="s">
        <v>363</v>
      </c>
      <c r="B72" s="15">
        <v>82</v>
      </c>
      <c r="C72" s="3" t="s">
        <v>548</v>
      </c>
      <c r="D72" s="15" t="s">
        <v>549</v>
      </c>
      <c r="E72" s="15" t="s">
        <v>550</v>
      </c>
      <c r="F72" s="15">
        <v>1</v>
      </c>
      <c r="G72" s="15">
        <v>1</v>
      </c>
      <c r="H72" s="15">
        <v>0</v>
      </c>
      <c r="I72" s="138"/>
    </row>
    <row r="73" spans="1:9" x14ac:dyDescent="0.4">
      <c r="A73" s="220" t="s">
        <v>363</v>
      </c>
      <c r="B73" s="227">
        <v>84</v>
      </c>
      <c r="C73" s="4" t="s">
        <v>551</v>
      </c>
      <c r="D73" s="227" t="s">
        <v>552</v>
      </c>
      <c r="E73" s="227" t="s">
        <v>553</v>
      </c>
      <c r="F73" s="227">
        <v>1</v>
      </c>
      <c r="G73" s="227">
        <v>5</v>
      </c>
      <c r="H73" s="227">
        <v>0</v>
      </c>
      <c r="I73" s="221"/>
    </row>
    <row r="74" spans="1:9" x14ac:dyDescent="0.4">
      <c r="A74" s="229" t="s">
        <v>363</v>
      </c>
      <c r="B74" s="230">
        <v>87</v>
      </c>
      <c r="C74" s="18" t="s">
        <v>554</v>
      </c>
      <c r="D74" s="230" t="s">
        <v>555</v>
      </c>
      <c r="E74" s="230" t="s">
        <v>556</v>
      </c>
      <c r="F74" s="230">
        <v>1</v>
      </c>
      <c r="G74" s="230">
        <v>1</v>
      </c>
      <c r="H74" s="230">
        <v>0</v>
      </c>
      <c r="I74" s="231"/>
    </row>
    <row r="75" spans="1:9" x14ac:dyDescent="0.4">
      <c r="A75" s="219" t="s">
        <v>363</v>
      </c>
      <c r="B75" s="14">
        <v>92</v>
      </c>
      <c r="C75" s="2" t="s">
        <v>557</v>
      </c>
      <c r="D75" s="14" t="s">
        <v>558</v>
      </c>
      <c r="E75" s="14" t="s">
        <v>559</v>
      </c>
      <c r="F75" s="14">
        <v>1</v>
      </c>
      <c r="G75" s="14">
        <v>5</v>
      </c>
      <c r="H75" s="14">
        <v>0</v>
      </c>
      <c r="I75" s="174"/>
    </row>
    <row r="76" spans="1:9" x14ac:dyDescent="0.4">
      <c r="A76" s="137" t="s">
        <v>363</v>
      </c>
      <c r="B76" s="15">
        <v>93</v>
      </c>
      <c r="C76" s="3" t="s">
        <v>560</v>
      </c>
      <c r="D76" s="15" t="s">
        <v>561</v>
      </c>
      <c r="E76" s="15" t="s">
        <v>562</v>
      </c>
      <c r="F76" s="15">
        <v>1</v>
      </c>
      <c r="G76" s="15">
        <v>1</v>
      </c>
      <c r="H76" s="15">
        <v>0</v>
      </c>
      <c r="I76" s="138"/>
    </row>
    <row r="77" spans="1:9" x14ac:dyDescent="0.4">
      <c r="A77" s="137" t="s">
        <v>363</v>
      </c>
      <c r="B77" s="15">
        <v>94</v>
      </c>
      <c r="C77" s="3" t="s">
        <v>563</v>
      </c>
      <c r="D77" s="15" t="s">
        <v>564</v>
      </c>
      <c r="E77" s="15" t="s">
        <v>565</v>
      </c>
      <c r="F77" s="15">
        <v>1</v>
      </c>
      <c r="G77" s="15">
        <v>1</v>
      </c>
      <c r="H77" s="15">
        <v>0</v>
      </c>
      <c r="I77" s="138"/>
    </row>
    <row r="78" spans="1:9" x14ac:dyDescent="0.4">
      <c r="A78" s="220" t="s">
        <v>363</v>
      </c>
      <c r="B78" s="227">
        <v>19</v>
      </c>
      <c r="C78" s="4" t="s">
        <v>566</v>
      </c>
      <c r="D78" s="227" t="s">
        <v>567</v>
      </c>
      <c r="E78" s="227"/>
      <c r="F78" s="227">
        <v>2</v>
      </c>
      <c r="G78" s="227">
        <v>1</v>
      </c>
      <c r="H78" s="227">
        <v>0</v>
      </c>
      <c r="I78" s="221" t="s">
        <v>568</v>
      </c>
    </row>
    <row r="79" spans="1:9" ht="93.75" x14ac:dyDescent="0.4">
      <c r="A79" s="229" t="s">
        <v>363</v>
      </c>
      <c r="B79" s="230">
        <v>24</v>
      </c>
      <c r="C79" s="18" t="s">
        <v>569</v>
      </c>
      <c r="D79" s="230" t="s">
        <v>570</v>
      </c>
      <c r="E79" s="230"/>
      <c r="F79" s="230">
        <v>2</v>
      </c>
      <c r="G79" s="230">
        <v>1</v>
      </c>
      <c r="H79" s="230">
        <v>0</v>
      </c>
      <c r="I79" s="232" t="s">
        <v>571</v>
      </c>
    </row>
    <row r="80" spans="1:9" ht="37.5" x14ac:dyDescent="0.4">
      <c r="A80" s="219" t="s">
        <v>363</v>
      </c>
      <c r="B80" s="14">
        <v>40</v>
      </c>
      <c r="C80" s="2" t="s">
        <v>572</v>
      </c>
      <c r="D80" s="14" t="s">
        <v>573</v>
      </c>
      <c r="E80" s="14"/>
      <c r="F80" s="14">
        <v>2</v>
      </c>
      <c r="G80" s="14">
        <v>1</v>
      </c>
      <c r="H80" s="14">
        <v>0</v>
      </c>
      <c r="I80" s="233" t="s">
        <v>574</v>
      </c>
    </row>
    <row r="81" spans="1:9" ht="131.25" x14ac:dyDescent="0.4">
      <c r="A81" s="137" t="s">
        <v>363</v>
      </c>
      <c r="B81" s="15">
        <v>46</v>
      </c>
      <c r="C81" s="3" t="s">
        <v>575</v>
      </c>
      <c r="D81" s="15" t="s">
        <v>576</v>
      </c>
      <c r="E81" s="15"/>
      <c r="F81" s="15">
        <v>2</v>
      </c>
      <c r="G81" s="15">
        <v>1</v>
      </c>
      <c r="H81" s="15">
        <v>0</v>
      </c>
      <c r="I81" s="234" t="s">
        <v>577</v>
      </c>
    </row>
    <row r="82" spans="1:9" x14ac:dyDescent="0.4">
      <c r="A82" s="137" t="s">
        <v>363</v>
      </c>
      <c r="B82" s="15">
        <v>2</v>
      </c>
      <c r="C82" s="3" t="s">
        <v>578</v>
      </c>
      <c r="D82" s="15" t="s">
        <v>579</v>
      </c>
      <c r="E82" s="15"/>
      <c r="F82" s="15">
        <v>3</v>
      </c>
      <c r="G82" s="15">
        <v>1</v>
      </c>
      <c r="H82" s="15">
        <v>0</v>
      </c>
      <c r="I82" s="138" t="s">
        <v>580</v>
      </c>
    </row>
    <row r="83" spans="1:9" x14ac:dyDescent="0.4">
      <c r="A83" s="220" t="s">
        <v>401</v>
      </c>
      <c r="B83" s="227">
        <v>21</v>
      </c>
      <c r="C83" s="4" t="s">
        <v>581</v>
      </c>
      <c r="D83" s="227" t="s">
        <v>582</v>
      </c>
      <c r="E83" s="227"/>
      <c r="F83" s="227">
        <v>4</v>
      </c>
      <c r="G83" s="227">
        <v>2</v>
      </c>
      <c r="H83" s="227">
        <v>1</v>
      </c>
      <c r="I83" s="221"/>
    </row>
    <row r="84" spans="1:9" x14ac:dyDescent="0.4">
      <c r="A84" s="229" t="s">
        <v>401</v>
      </c>
      <c r="B84" s="230">
        <v>80</v>
      </c>
      <c r="C84" s="18" t="s">
        <v>583</v>
      </c>
      <c r="D84" s="230" t="s">
        <v>584</v>
      </c>
      <c r="E84" s="230"/>
      <c r="F84" s="230">
        <v>4</v>
      </c>
      <c r="G84" s="230">
        <v>1</v>
      </c>
      <c r="H84" s="230">
        <v>0</v>
      </c>
      <c r="I84" s="231"/>
    </row>
    <row r="85" spans="1:9" x14ac:dyDescent="0.4">
      <c r="A85" s="219" t="s">
        <v>401</v>
      </c>
      <c r="B85" s="14">
        <v>51</v>
      </c>
      <c r="C85" s="2" t="s">
        <v>585</v>
      </c>
      <c r="D85" s="14" t="s">
        <v>586</v>
      </c>
      <c r="E85" s="14"/>
      <c r="F85" s="14">
        <v>4</v>
      </c>
      <c r="G85" s="14">
        <v>1</v>
      </c>
      <c r="H85" s="14"/>
      <c r="I85" s="174"/>
    </row>
    <row r="86" spans="1:9" x14ac:dyDescent="0.4">
      <c r="A86" s="137" t="s">
        <v>401</v>
      </c>
      <c r="B86" s="15">
        <v>3</v>
      </c>
      <c r="C86" s="3" t="s">
        <v>587</v>
      </c>
      <c r="D86" s="15" t="s">
        <v>588</v>
      </c>
      <c r="E86" s="15"/>
      <c r="F86" s="15">
        <v>4</v>
      </c>
      <c r="G86" s="15">
        <v>1</v>
      </c>
      <c r="H86" s="15">
        <v>0</v>
      </c>
      <c r="I86" s="138" t="s">
        <v>589</v>
      </c>
    </row>
    <row r="87" spans="1:9" x14ac:dyDescent="0.4">
      <c r="A87" s="137" t="s">
        <v>363</v>
      </c>
      <c r="B87" s="15">
        <v>71</v>
      </c>
      <c r="C87" s="3" t="s">
        <v>590</v>
      </c>
      <c r="D87" s="15" t="s">
        <v>591</v>
      </c>
      <c r="E87" s="15"/>
      <c r="F87" s="15">
        <v>5</v>
      </c>
      <c r="G87" s="15">
        <v>1</v>
      </c>
      <c r="H87" s="15">
        <v>0</v>
      </c>
      <c r="I87" s="138"/>
    </row>
    <row r="88" spans="1:9" x14ac:dyDescent="0.4">
      <c r="A88" s="220" t="s">
        <v>401</v>
      </c>
      <c r="B88" s="227">
        <v>1</v>
      </c>
      <c r="C88" s="4" t="s">
        <v>592</v>
      </c>
      <c r="D88" s="227" t="s">
        <v>593</v>
      </c>
      <c r="E88" s="227"/>
      <c r="F88" s="227">
        <v>6</v>
      </c>
      <c r="G88" s="227">
        <v>5</v>
      </c>
      <c r="H88" s="227">
        <v>0</v>
      </c>
      <c r="I88" s="221"/>
    </row>
    <row r="89" spans="1:9" x14ac:dyDescent="0.4">
      <c r="A89" s="229" t="s">
        <v>401</v>
      </c>
      <c r="B89" s="230">
        <v>6</v>
      </c>
      <c r="C89" s="18" t="s">
        <v>594</v>
      </c>
      <c r="D89" s="230" t="s">
        <v>595</v>
      </c>
      <c r="E89" s="230"/>
      <c r="F89" s="230">
        <v>6</v>
      </c>
      <c r="G89" s="230">
        <v>2</v>
      </c>
      <c r="H89" s="230">
        <v>0</v>
      </c>
      <c r="I89" s="231"/>
    </row>
    <row r="90" spans="1:9" x14ac:dyDescent="0.4">
      <c r="A90" s="219" t="s">
        <v>401</v>
      </c>
      <c r="B90" s="14">
        <v>25</v>
      </c>
      <c r="C90" s="2" t="s">
        <v>596</v>
      </c>
      <c r="D90" s="14" t="s">
        <v>597</v>
      </c>
      <c r="E90" s="14"/>
      <c r="F90" s="14">
        <v>6</v>
      </c>
      <c r="G90" s="14">
        <v>0</v>
      </c>
      <c r="H90" s="14"/>
      <c r="I90" s="174"/>
    </row>
    <row r="91" spans="1:9" x14ac:dyDescent="0.4">
      <c r="A91" s="137" t="s">
        <v>401</v>
      </c>
      <c r="B91" s="15">
        <v>31</v>
      </c>
      <c r="C91" s="3" t="s">
        <v>598</v>
      </c>
      <c r="D91" s="15" t="s">
        <v>599</v>
      </c>
      <c r="E91" s="15"/>
      <c r="F91" s="15">
        <v>6</v>
      </c>
      <c r="G91" s="15">
        <v>1</v>
      </c>
      <c r="H91" s="15">
        <v>0</v>
      </c>
      <c r="I91" s="138"/>
    </row>
    <row r="92" spans="1:9" x14ac:dyDescent="0.4">
      <c r="A92" s="137" t="s">
        <v>401</v>
      </c>
      <c r="B92" s="15">
        <v>48</v>
      </c>
      <c r="C92" s="3" t="s">
        <v>600</v>
      </c>
      <c r="D92" s="15" t="s">
        <v>601</v>
      </c>
      <c r="E92" s="15"/>
      <c r="F92" s="15">
        <v>6</v>
      </c>
      <c r="G92" s="15">
        <v>1</v>
      </c>
      <c r="H92" s="15">
        <v>0</v>
      </c>
      <c r="I92" s="138"/>
    </row>
    <row r="93" spans="1:9" x14ac:dyDescent="0.4">
      <c r="A93" s="220" t="s">
        <v>401</v>
      </c>
      <c r="B93" s="227">
        <v>52</v>
      </c>
      <c r="C93" s="4" t="s">
        <v>602</v>
      </c>
      <c r="D93" s="227" t="s">
        <v>603</v>
      </c>
      <c r="E93" s="227"/>
      <c r="F93" s="227">
        <v>6</v>
      </c>
      <c r="G93" s="227">
        <v>1</v>
      </c>
      <c r="H93" s="227">
        <v>0</v>
      </c>
      <c r="I93" s="221"/>
    </row>
    <row r="94" spans="1:9" x14ac:dyDescent="0.4">
      <c r="A94" s="229" t="s">
        <v>401</v>
      </c>
      <c r="B94" s="230">
        <v>55</v>
      </c>
      <c r="C94" s="18" t="s">
        <v>604</v>
      </c>
      <c r="D94" s="230" t="s">
        <v>605</v>
      </c>
      <c r="E94" s="230"/>
      <c r="F94" s="230">
        <v>6</v>
      </c>
      <c r="G94" s="230">
        <v>1</v>
      </c>
      <c r="H94" s="230">
        <v>0</v>
      </c>
      <c r="I94" s="231"/>
    </row>
    <row r="95" spans="1:9" x14ac:dyDescent="0.4">
      <c r="A95" s="219" t="s">
        <v>401</v>
      </c>
      <c r="B95" s="14">
        <v>57</v>
      </c>
      <c r="C95" s="2" t="s">
        <v>606</v>
      </c>
      <c r="D95" s="14" t="s">
        <v>607</v>
      </c>
      <c r="E95" s="14"/>
      <c r="F95" s="14">
        <v>6</v>
      </c>
      <c r="G95" s="14">
        <v>1</v>
      </c>
      <c r="H95" s="14">
        <v>0</v>
      </c>
      <c r="I95" s="174"/>
    </row>
    <row r="96" spans="1:9" x14ac:dyDescent="0.4">
      <c r="A96" s="137" t="s">
        <v>401</v>
      </c>
      <c r="B96" s="15">
        <v>61</v>
      </c>
      <c r="C96" s="3" t="s">
        <v>608</v>
      </c>
      <c r="D96" s="15" t="s">
        <v>609</v>
      </c>
      <c r="E96" s="15"/>
      <c r="F96" s="15">
        <v>6</v>
      </c>
      <c r="G96" s="15">
        <v>1</v>
      </c>
      <c r="H96" s="15">
        <v>0</v>
      </c>
      <c r="I96" s="138"/>
    </row>
    <row r="97" spans="1:9" x14ac:dyDescent="0.4">
      <c r="A97" s="137" t="s">
        <v>401</v>
      </c>
      <c r="B97" s="15">
        <v>63</v>
      </c>
      <c r="C97" s="3" t="s">
        <v>610</v>
      </c>
      <c r="D97" s="15" t="s">
        <v>611</v>
      </c>
      <c r="E97" s="15"/>
      <c r="F97" s="15">
        <v>6</v>
      </c>
      <c r="G97" s="15">
        <v>0</v>
      </c>
      <c r="H97" s="15">
        <v>0</v>
      </c>
      <c r="I97" s="138"/>
    </row>
    <row r="98" spans="1:9" x14ac:dyDescent="0.4">
      <c r="A98" s="220" t="s">
        <v>401</v>
      </c>
      <c r="B98" s="227">
        <v>86</v>
      </c>
      <c r="C98" s="4" t="s">
        <v>612</v>
      </c>
      <c r="D98" s="227" t="s">
        <v>613</v>
      </c>
      <c r="E98" s="227"/>
      <c r="F98" s="227">
        <v>6</v>
      </c>
      <c r="G98" s="227">
        <v>1</v>
      </c>
      <c r="H98" s="227">
        <v>0</v>
      </c>
      <c r="I98" s="221"/>
    </row>
    <row r="99" spans="1:9" x14ac:dyDescent="0.4">
      <c r="A99" s="229" t="s">
        <v>401</v>
      </c>
      <c r="B99" s="230">
        <v>99</v>
      </c>
      <c r="C99" s="18" t="s">
        <v>614</v>
      </c>
      <c r="D99" s="230" t="s">
        <v>615</v>
      </c>
      <c r="E99" s="230"/>
      <c r="F99" s="230">
        <v>6</v>
      </c>
      <c r="G99" s="230">
        <v>1</v>
      </c>
      <c r="H99" s="230">
        <v>0</v>
      </c>
      <c r="I99" s="231" t="s">
        <v>616</v>
      </c>
    </row>
    <row r="100" spans="1:9" x14ac:dyDescent="0.4">
      <c r="A100" s="219" t="s">
        <v>401</v>
      </c>
      <c r="B100" s="14">
        <v>69</v>
      </c>
      <c r="C100" s="2" t="s">
        <v>617</v>
      </c>
      <c r="D100" s="14" t="s">
        <v>618</v>
      </c>
      <c r="E100" s="14"/>
      <c r="F100" s="14">
        <v>6</v>
      </c>
      <c r="G100" s="14">
        <v>0</v>
      </c>
      <c r="H100" s="14"/>
      <c r="I100" s="174"/>
    </row>
    <row r="101" spans="1:9" ht="19.5" thickBot="1" x14ac:dyDescent="0.45">
      <c r="A101" s="140" t="s">
        <v>401</v>
      </c>
      <c r="B101" s="16">
        <v>70</v>
      </c>
      <c r="C101" s="7" t="s">
        <v>619</v>
      </c>
      <c r="D101" s="16" t="s">
        <v>620</v>
      </c>
      <c r="E101" s="16"/>
      <c r="F101" s="16">
        <v>6</v>
      </c>
      <c r="G101" s="16">
        <v>0</v>
      </c>
      <c r="H101" s="16">
        <v>0</v>
      </c>
      <c r="I101" s="141"/>
    </row>
  </sheetData>
  <sortState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0" r:id="rId3" name="EditButton">
          <controlPr defaultSize="0" autoLine="0" r:id="rId4">
            <anchor moveWithCells="1">
              <from>
                <xdr:col>0</xdr:col>
                <xdr:colOff>76200</xdr:colOff>
                <xdr:row>0</xdr:row>
                <xdr:rowOff>47625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4120" r:id="rId3" name="EditButton"/>
      </mc:Fallback>
    </mc:AlternateContent>
    <mc:AlternateContent xmlns:mc="http://schemas.openxmlformats.org/markup-compatibility/2006">
      <mc:Choice Requires="x14">
        <control shapeId="4122" r:id="rId5" name="NewButton">
          <controlPr defaultSize="0" autoLine="0" r:id="rId6">
            <anchor moveWithCells="1">
              <from>
                <xdr:col>1</xdr:col>
                <xdr:colOff>209550</xdr:colOff>
                <xdr:row>0</xdr:row>
                <xdr:rowOff>47625</xdr:rowOff>
              </from>
              <to>
                <xdr:col>2</xdr:col>
                <xdr:colOff>247650</xdr:colOff>
                <xdr:row>1</xdr:row>
                <xdr:rowOff>200025</xdr:rowOff>
              </to>
            </anchor>
          </controlPr>
        </control>
      </mc:Choice>
      <mc:Fallback>
        <control shapeId="4122" r:id="rId5" name="New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D84CF-89BE-4838-A4A1-DF92226DC8DC}">
  <sheetPr codeName="Sheet7"/>
  <dimension ref="A2:AX75"/>
  <sheetViews>
    <sheetView zoomScale="80" zoomScaleNormal="80" workbookViewId="0">
      <selection activeCell="J24" sqref="J24"/>
    </sheetView>
  </sheetViews>
  <sheetFormatPr defaultColWidth="7.625" defaultRowHeight="18.75" x14ac:dyDescent="0.4"/>
  <cols>
    <col min="1" max="1" width="7.625" style="1"/>
    <col min="2" max="2" width="15.625" style="1" customWidth="1"/>
    <col min="3" max="36" width="7.625" style="1"/>
    <col min="37" max="37" width="15.625" style="1" customWidth="1"/>
    <col min="38" max="46" width="7.625" style="1"/>
    <col min="47" max="47" width="15.625" style="1" customWidth="1"/>
    <col min="48" max="50" width="10.625" style="1" customWidth="1"/>
    <col min="51" max="16384" width="7.625" style="1"/>
  </cols>
  <sheetData>
    <row r="2" spans="1:50" ht="19.5" thickBot="1" x14ac:dyDescent="0.45"/>
    <row r="3" spans="1:50" ht="19.5" thickBot="1" x14ac:dyDescent="0.45">
      <c r="D3" s="22">
        <v>45260</v>
      </c>
      <c r="E3" s="225">
        <v>45261</v>
      </c>
      <c r="F3" s="225">
        <v>45262</v>
      </c>
      <c r="G3" s="176">
        <v>45263</v>
      </c>
      <c r="H3" s="225">
        <v>45264</v>
      </c>
      <c r="I3" s="225">
        <v>45265</v>
      </c>
      <c r="J3" s="225">
        <v>45266</v>
      </c>
      <c r="K3" s="225">
        <v>45267</v>
      </c>
      <c r="L3" s="225">
        <v>45268</v>
      </c>
      <c r="M3" s="176">
        <v>45269</v>
      </c>
      <c r="N3" s="176">
        <v>45270</v>
      </c>
      <c r="O3" s="225">
        <v>45271</v>
      </c>
      <c r="P3" s="225">
        <v>45272</v>
      </c>
      <c r="Q3" s="225">
        <v>45273</v>
      </c>
      <c r="R3" s="225">
        <v>45274</v>
      </c>
      <c r="S3" s="225">
        <v>45275</v>
      </c>
      <c r="T3" s="225">
        <v>45276</v>
      </c>
      <c r="U3" s="176">
        <v>45277</v>
      </c>
      <c r="V3" s="225">
        <v>45278</v>
      </c>
      <c r="W3" s="225">
        <v>45279</v>
      </c>
      <c r="X3" s="225">
        <v>45280</v>
      </c>
      <c r="Y3" s="225">
        <v>45281</v>
      </c>
      <c r="Z3" s="225">
        <v>45282</v>
      </c>
      <c r="AA3" s="176">
        <v>45283</v>
      </c>
      <c r="AB3" s="176">
        <v>45284</v>
      </c>
      <c r="AC3" s="225">
        <v>45285</v>
      </c>
      <c r="AD3" s="225">
        <v>45286</v>
      </c>
      <c r="AE3" s="225">
        <v>45287</v>
      </c>
      <c r="AF3" s="225">
        <v>45288</v>
      </c>
      <c r="AG3" s="176">
        <v>45289</v>
      </c>
      <c r="AH3" s="176">
        <v>45290</v>
      </c>
      <c r="AI3" s="176">
        <v>45291</v>
      </c>
      <c r="AJ3" s="197">
        <v>45292</v>
      </c>
    </row>
    <row r="4" spans="1:50" ht="19.5" thickBot="1" x14ac:dyDescent="0.45">
      <c r="D4" s="223">
        <v>45260</v>
      </c>
      <c r="E4" s="224">
        <v>45261</v>
      </c>
      <c r="F4" s="224">
        <v>45262</v>
      </c>
      <c r="G4" s="175">
        <v>45263</v>
      </c>
      <c r="H4" s="224">
        <v>45264</v>
      </c>
      <c r="I4" s="224">
        <v>45265</v>
      </c>
      <c r="J4" s="224">
        <v>45266</v>
      </c>
      <c r="K4" s="224">
        <v>45267</v>
      </c>
      <c r="L4" s="224">
        <v>45268</v>
      </c>
      <c r="M4" s="175">
        <v>45269</v>
      </c>
      <c r="N4" s="175">
        <v>45270</v>
      </c>
      <c r="O4" s="224">
        <v>45271</v>
      </c>
      <c r="P4" s="224">
        <v>45272</v>
      </c>
      <c r="Q4" s="224">
        <v>45273</v>
      </c>
      <c r="R4" s="224">
        <v>45274</v>
      </c>
      <c r="S4" s="224">
        <v>45275</v>
      </c>
      <c r="T4" s="224">
        <v>45276</v>
      </c>
      <c r="U4" s="175">
        <v>45277</v>
      </c>
      <c r="V4" s="224">
        <v>45278</v>
      </c>
      <c r="W4" s="224">
        <v>45279</v>
      </c>
      <c r="X4" s="224">
        <v>45280</v>
      </c>
      <c r="Y4" s="224">
        <v>45281</v>
      </c>
      <c r="Z4" s="224">
        <v>45282</v>
      </c>
      <c r="AA4" s="175">
        <v>45283</v>
      </c>
      <c r="AB4" s="175">
        <v>45284</v>
      </c>
      <c r="AC4" s="224">
        <v>45285</v>
      </c>
      <c r="AD4" s="224">
        <v>45286</v>
      </c>
      <c r="AE4" s="224">
        <v>45287</v>
      </c>
      <c r="AF4" s="224">
        <v>45288</v>
      </c>
      <c r="AG4" s="175">
        <v>45289</v>
      </c>
      <c r="AH4" s="175">
        <v>45290</v>
      </c>
      <c r="AI4" s="175">
        <v>45291</v>
      </c>
      <c r="AJ4" s="198">
        <v>45292</v>
      </c>
      <c r="AM4" s="173" t="s">
        <v>290</v>
      </c>
      <c r="AN4" s="172" t="s">
        <v>291</v>
      </c>
      <c r="AW4" s="173" t="s">
        <v>325</v>
      </c>
      <c r="AX4" s="172" t="s">
        <v>326</v>
      </c>
    </row>
    <row r="5" spans="1:50" x14ac:dyDescent="0.4">
      <c r="A5" s="256" t="s">
        <v>265</v>
      </c>
      <c r="B5" s="187" t="s">
        <v>3</v>
      </c>
      <c r="C5" s="100" t="s">
        <v>266</v>
      </c>
      <c r="D5" s="180">
        <v>0</v>
      </c>
      <c r="E5" s="14">
        <v>0</v>
      </c>
      <c r="F5" s="14">
        <v>0</v>
      </c>
      <c r="G5" s="181">
        <v>1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1">
        <v>1</v>
      </c>
      <c r="N5" s="181">
        <v>1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81">
        <v>1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81">
        <v>1</v>
      </c>
      <c r="AB5" s="181">
        <v>1</v>
      </c>
      <c r="AC5" s="14">
        <v>0</v>
      </c>
      <c r="AD5" s="14">
        <v>0</v>
      </c>
      <c r="AE5" s="14">
        <v>0</v>
      </c>
      <c r="AF5" s="14">
        <v>0</v>
      </c>
      <c r="AG5" s="181">
        <v>1</v>
      </c>
      <c r="AH5" s="181">
        <v>1</v>
      </c>
      <c r="AI5" s="181">
        <v>1</v>
      </c>
      <c r="AJ5" s="199">
        <v>1</v>
      </c>
      <c r="AK5" s="187" t="s">
        <v>3</v>
      </c>
      <c r="AL5" s="100" t="s">
        <v>266</v>
      </c>
      <c r="AM5" s="180">
        <v>0</v>
      </c>
      <c r="AN5" s="174">
        <v>1</v>
      </c>
      <c r="AU5" s="139" t="s">
        <v>298</v>
      </c>
      <c r="AV5" s="196" t="s">
        <v>299</v>
      </c>
      <c r="AW5" s="180">
        <v>150</v>
      </c>
      <c r="AX5" s="174">
        <v>150</v>
      </c>
    </row>
    <row r="6" spans="1:50" x14ac:dyDescent="0.4">
      <c r="A6" s="257"/>
      <c r="B6" s="185" t="s">
        <v>4</v>
      </c>
      <c r="C6" s="186" t="s">
        <v>267</v>
      </c>
      <c r="D6" s="178">
        <v>0</v>
      </c>
      <c r="E6" s="15">
        <v>0</v>
      </c>
      <c r="F6" s="15">
        <v>0</v>
      </c>
      <c r="G6" s="182">
        <v>1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82">
        <v>1</v>
      </c>
      <c r="N6" s="182">
        <v>1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82">
        <v>1</v>
      </c>
      <c r="V6" s="15">
        <v>0</v>
      </c>
      <c r="W6" s="15">
        <v>0</v>
      </c>
      <c r="X6" s="15">
        <v>0</v>
      </c>
      <c r="Y6" s="15">
        <v>0</v>
      </c>
      <c r="Z6" s="15">
        <v>0</v>
      </c>
      <c r="AA6" s="182">
        <v>1</v>
      </c>
      <c r="AB6" s="182">
        <v>1</v>
      </c>
      <c r="AC6" s="15">
        <v>0</v>
      </c>
      <c r="AD6" s="15">
        <v>0</v>
      </c>
      <c r="AE6" s="15">
        <v>0</v>
      </c>
      <c r="AF6" s="15">
        <v>0</v>
      </c>
      <c r="AG6" s="182">
        <v>1</v>
      </c>
      <c r="AH6" s="182">
        <v>1</v>
      </c>
      <c r="AI6" s="182">
        <v>1</v>
      </c>
      <c r="AJ6" s="200">
        <v>1</v>
      </c>
      <c r="AK6" s="185" t="s">
        <v>4</v>
      </c>
      <c r="AL6" s="186" t="s">
        <v>267</v>
      </c>
      <c r="AM6" s="178">
        <v>0</v>
      </c>
      <c r="AN6" s="138">
        <v>1</v>
      </c>
      <c r="AU6" s="137" t="s">
        <v>300</v>
      </c>
      <c r="AV6" s="138" t="s">
        <v>301</v>
      </c>
      <c r="AW6" s="178">
        <v>12</v>
      </c>
      <c r="AX6" s="138">
        <v>12</v>
      </c>
    </row>
    <row r="7" spans="1:50" x14ac:dyDescent="0.4">
      <c r="A7" s="257"/>
      <c r="B7" s="185" t="s">
        <v>5</v>
      </c>
      <c r="C7" s="186" t="s">
        <v>268</v>
      </c>
      <c r="D7" s="178">
        <v>0</v>
      </c>
      <c r="E7" s="15">
        <v>0</v>
      </c>
      <c r="F7" s="15">
        <v>0</v>
      </c>
      <c r="G7" s="182">
        <v>1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82">
        <v>1</v>
      </c>
      <c r="N7" s="182">
        <v>1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82">
        <v>1</v>
      </c>
      <c r="V7" s="15">
        <v>0</v>
      </c>
      <c r="W7" s="15">
        <v>0</v>
      </c>
      <c r="X7" s="15">
        <v>0</v>
      </c>
      <c r="Y7" s="15">
        <v>0</v>
      </c>
      <c r="Z7" s="15">
        <v>0</v>
      </c>
      <c r="AA7" s="182">
        <v>1</v>
      </c>
      <c r="AB7" s="182">
        <v>1</v>
      </c>
      <c r="AC7" s="15">
        <v>0</v>
      </c>
      <c r="AD7" s="15">
        <v>0</v>
      </c>
      <c r="AE7" s="15">
        <v>0</v>
      </c>
      <c r="AF7" s="15">
        <v>0</v>
      </c>
      <c r="AG7" s="182">
        <v>1</v>
      </c>
      <c r="AH7" s="182">
        <v>1</v>
      </c>
      <c r="AI7" s="182">
        <v>1</v>
      </c>
      <c r="AJ7" s="200">
        <v>1</v>
      </c>
      <c r="AK7" s="185" t="s">
        <v>5</v>
      </c>
      <c r="AL7" s="186" t="s">
        <v>268</v>
      </c>
      <c r="AM7" s="178">
        <v>0</v>
      </c>
      <c r="AN7" s="138">
        <v>1</v>
      </c>
      <c r="AU7" s="137" t="s">
        <v>302</v>
      </c>
      <c r="AV7" s="138" t="s">
        <v>303</v>
      </c>
      <c r="AW7" s="178">
        <v>9</v>
      </c>
      <c r="AX7" s="138">
        <v>9</v>
      </c>
    </row>
    <row r="8" spans="1:50" x14ac:dyDescent="0.4">
      <c r="A8" s="257"/>
      <c r="B8" s="185" t="s">
        <v>6</v>
      </c>
      <c r="C8" s="186" t="s">
        <v>269</v>
      </c>
      <c r="D8" s="178">
        <v>0</v>
      </c>
      <c r="E8" s="15">
        <v>0</v>
      </c>
      <c r="F8" s="15">
        <v>0</v>
      </c>
      <c r="G8" s="182">
        <v>2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82">
        <v>2</v>
      </c>
      <c r="N8" s="182">
        <v>2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82">
        <v>2</v>
      </c>
      <c r="V8" s="15">
        <v>0</v>
      </c>
      <c r="W8" s="15">
        <v>0</v>
      </c>
      <c r="X8" s="15">
        <v>0</v>
      </c>
      <c r="Y8" s="15">
        <v>0</v>
      </c>
      <c r="Z8" s="15">
        <v>0</v>
      </c>
      <c r="AA8" s="182">
        <v>2</v>
      </c>
      <c r="AB8" s="182">
        <v>2</v>
      </c>
      <c r="AC8" s="15">
        <v>0</v>
      </c>
      <c r="AD8" s="15">
        <v>0</v>
      </c>
      <c r="AE8" s="15">
        <v>0</v>
      </c>
      <c r="AF8" s="15">
        <v>0</v>
      </c>
      <c r="AG8" s="182">
        <v>2</v>
      </c>
      <c r="AH8" s="182">
        <v>2</v>
      </c>
      <c r="AI8" s="182">
        <v>2</v>
      </c>
      <c r="AJ8" s="200">
        <v>2</v>
      </c>
      <c r="AK8" s="185" t="s">
        <v>6</v>
      </c>
      <c r="AL8" s="186" t="s">
        <v>269</v>
      </c>
      <c r="AM8" s="178">
        <v>0</v>
      </c>
      <c r="AN8" s="138">
        <v>2</v>
      </c>
      <c r="AU8" s="137" t="s">
        <v>304</v>
      </c>
      <c r="AV8" s="138" t="s">
        <v>305</v>
      </c>
      <c r="AW8" s="178">
        <v>2</v>
      </c>
      <c r="AX8" s="138">
        <v>2</v>
      </c>
    </row>
    <row r="9" spans="1:50" x14ac:dyDescent="0.4">
      <c r="A9" s="257"/>
      <c r="B9" s="185" t="s">
        <v>0</v>
      </c>
      <c r="C9" s="186" t="s">
        <v>270</v>
      </c>
      <c r="D9" s="178">
        <v>1</v>
      </c>
      <c r="E9" s="15">
        <v>1</v>
      </c>
      <c r="F9" s="15">
        <v>1</v>
      </c>
      <c r="G9" s="182">
        <v>1</v>
      </c>
      <c r="H9" s="15">
        <v>1</v>
      </c>
      <c r="I9" s="15">
        <v>1</v>
      </c>
      <c r="J9" s="15">
        <v>1</v>
      </c>
      <c r="K9" s="15">
        <v>1</v>
      </c>
      <c r="L9" s="15">
        <v>1</v>
      </c>
      <c r="M9" s="182">
        <v>1</v>
      </c>
      <c r="N9" s="182">
        <v>1</v>
      </c>
      <c r="O9" s="15">
        <v>1</v>
      </c>
      <c r="P9" s="15">
        <v>1</v>
      </c>
      <c r="Q9" s="15">
        <v>1</v>
      </c>
      <c r="R9" s="15">
        <v>1</v>
      </c>
      <c r="S9" s="15">
        <v>1</v>
      </c>
      <c r="T9" s="15">
        <v>1</v>
      </c>
      <c r="U9" s="182">
        <v>1</v>
      </c>
      <c r="V9" s="15">
        <v>1</v>
      </c>
      <c r="W9" s="15">
        <v>1</v>
      </c>
      <c r="X9" s="15">
        <v>1</v>
      </c>
      <c r="Y9" s="15">
        <v>1</v>
      </c>
      <c r="Z9" s="15">
        <v>1</v>
      </c>
      <c r="AA9" s="182">
        <v>1</v>
      </c>
      <c r="AB9" s="182">
        <v>1</v>
      </c>
      <c r="AC9" s="15">
        <v>1</v>
      </c>
      <c r="AD9" s="15">
        <v>1</v>
      </c>
      <c r="AE9" s="15">
        <v>1</v>
      </c>
      <c r="AF9" s="15">
        <v>1</v>
      </c>
      <c r="AG9" s="182">
        <v>1</v>
      </c>
      <c r="AH9" s="182">
        <v>1</v>
      </c>
      <c r="AI9" s="182">
        <v>1</v>
      </c>
      <c r="AJ9" s="200">
        <v>1</v>
      </c>
      <c r="AK9" s="185" t="s">
        <v>0</v>
      </c>
      <c r="AL9" s="186" t="s">
        <v>270</v>
      </c>
      <c r="AM9" s="178">
        <v>1</v>
      </c>
      <c r="AN9" s="138">
        <v>1</v>
      </c>
      <c r="AU9" s="137" t="s">
        <v>306</v>
      </c>
      <c r="AV9" s="138" t="s">
        <v>307</v>
      </c>
      <c r="AW9" s="178">
        <v>1</v>
      </c>
      <c r="AX9" s="138">
        <v>0</v>
      </c>
    </row>
    <row r="10" spans="1:50" x14ac:dyDescent="0.4">
      <c r="A10" s="257"/>
      <c r="B10" s="185" t="s">
        <v>1</v>
      </c>
      <c r="C10" s="186" t="s">
        <v>271</v>
      </c>
      <c r="D10" s="178">
        <v>1</v>
      </c>
      <c r="E10" s="15">
        <v>1</v>
      </c>
      <c r="F10" s="15">
        <v>1</v>
      </c>
      <c r="G10" s="182">
        <v>1</v>
      </c>
      <c r="H10" s="15">
        <v>1</v>
      </c>
      <c r="I10" s="15">
        <v>1</v>
      </c>
      <c r="J10" s="15">
        <v>1</v>
      </c>
      <c r="K10" s="15">
        <v>1</v>
      </c>
      <c r="L10" s="15">
        <v>1</v>
      </c>
      <c r="M10" s="182">
        <v>1</v>
      </c>
      <c r="N10" s="182">
        <v>1</v>
      </c>
      <c r="O10" s="15">
        <v>1</v>
      </c>
      <c r="P10" s="15">
        <v>1</v>
      </c>
      <c r="Q10" s="15">
        <v>1</v>
      </c>
      <c r="R10" s="15">
        <v>1</v>
      </c>
      <c r="S10" s="15">
        <v>1</v>
      </c>
      <c r="T10" s="15">
        <v>1</v>
      </c>
      <c r="U10" s="182">
        <v>1</v>
      </c>
      <c r="V10" s="15">
        <v>1</v>
      </c>
      <c r="W10" s="15">
        <v>1</v>
      </c>
      <c r="X10" s="15">
        <v>1</v>
      </c>
      <c r="Y10" s="15">
        <v>1</v>
      </c>
      <c r="Z10" s="15">
        <v>1</v>
      </c>
      <c r="AA10" s="182">
        <v>1</v>
      </c>
      <c r="AB10" s="182">
        <v>1</v>
      </c>
      <c r="AC10" s="15">
        <v>1</v>
      </c>
      <c r="AD10" s="15">
        <v>1</v>
      </c>
      <c r="AE10" s="15">
        <v>1</v>
      </c>
      <c r="AF10" s="15">
        <v>1</v>
      </c>
      <c r="AG10" s="182">
        <v>1</v>
      </c>
      <c r="AH10" s="182">
        <v>1</v>
      </c>
      <c r="AI10" s="182">
        <v>1</v>
      </c>
      <c r="AJ10" s="200">
        <v>1</v>
      </c>
      <c r="AK10" s="185" t="s">
        <v>1</v>
      </c>
      <c r="AL10" s="186" t="s">
        <v>271</v>
      </c>
      <c r="AM10" s="178">
        <v>1</v>
      </c>
      <c r="AN10" s="138">
        <v>1</v>
      </c>
      <c r="AU10" s="137" t="s">
        <v>308</v>
      </c>
      <c r="AV10" s="138" t="s">
        <v>294</v>
      </c>
      <c r="AW10" s="178">
        <v>0</v>
      </c>
      <c r="AX10" s="138">
        <v>1</v>
      </c>
    </row>
    <row r="11" spans="1:50" x14ac:dyDescent="0.4">
      <c r="A11" s="257"/>
      <c r="B11" s="185" t="s">
        <v>2</v>
      </c>
      <c r="C11" s="186" t="s">
        <v>272</v>
      </c>
      <c r="D11" s="178">
        <v>1</v>
      </c>
      <c r="E11" s="15">
        <v>1</v>
      </c>
      <c r="F11" s="15">
        <v>1</v>
      </c>
      <c r="G11" s="182">
        <v>1</v>
      </c>
      <c r="H11" s="15">
        <v>1</v>
      </c>
      <c r="I11" s="15">
        <v>1</v>
      </c>
      <c r="J11" s="15">
        <v>1</v>
      </c>
      <c r="K11" s="15">
        <v>1</v>
      </c>
      <c r="L11" s="15">
        <v>1</v>
      </c>
      <c r="M11" s="182">
        <v>1</v>
      </c>
      <c r="N11" s="182">
        <v>1</v>
      </c>
      <c r="O11" s="15">
        <v>1</v>
      </c>
      <c r="P11" s="15">
        <v>1</v>
      </c>
      <c r="Q11" s="15">
        <v>1</v>
      </c>
      <c r="R11" s="15">
        <v>1</v>
      </c>
      <c r="S11" s="15">
        <v>1</v>
      </c>
      <c r="T11" s="15">
        <v>1</v>
      </c>
      <c r="U11" s="182">
        <v>1</v>
      </c>
      <c r="V11" s="15">
        <v>1</v>
      </c>
      <c r="W11" s="15">
        <v>1</v>
      </c>
      <c r="X11" s="15">
        <v>1</v>
      </c>
      <c r="Y11" s="15">
        <v>1</v>
      </c>
      <c r="Z11" s="15">
        <v>1</v>
      </c>
      <c r="AA11" s="182">
        <v>1</v>
      </c>
      <c r="AB11" s="182">
        <v>1</v>
      </c>
      <c r="AC11" s="15">
        <v>1</v>
      </c>
      <c r="AD11" s="15">
        <v>1</v>
      </c>
      <c r="AE11" s="15">
        <v>1</v>
      </c>
      <c r="AF11" s="15">
        <v>1</v>
      </c>
      <c r="AG11" s="182">
        <v>1</v>
      </c>
      <c r="AH11" s="182">
        <v>1</v>
      </c>
      <c r="AI11" s="182">
        <v>1</v>
      </c>
      <c r="AJ11" s="200">
        <v>1</v>
      </c>
      <c r="AK11" s="185" t="s">
        <v>2</v>
      </c>
      <c r="AL11" s="186" t="s">
        <v>272</v>
      </c>
      <c r="AM11" s="178">
        <v>1</v>
      </c>
      <c r="AN11" s="138">
        <v>1</v>
      </c>
      <c r="AU11" s="137" t="s">
        <v>309</v>
      </c>
      <c r="AV11" s="138" t="s">
        <v>310</v>
      </c>
      <c r="AW11" s="178">
        <v>4</v>
      </c>
      <c r="AX11" s="138">
        <v>4</v>
      </c>
    </row>
    <row r="12" spans="1:50" ht="19.5" thickBot="1" x14ac:dyDescent="0.45">
      <c r="A12" s="257"/>
      <c r="B12" s="185" t="s">
        <v>273</v>
      </c>
      <c r="C12" s="186" t="s">
        <v>274</v>
      </c>
      <c r="D12" s="178">
        <v>3</v>
      </c>
      <c r="E12" s="15">
        <v>3</v>
      </c>
      <c r="F12" s="15">
        <v>3</v>
      </c>
      <c r="G12" s="182">
        <v>3</v>
      </c>
      <c r="H12" s="15">
        <v>3</v>
      </c>
      <c r="I12" s="15">
        <v>3</v>
      </c>
      <c r="J12" s="15">
        <v>3</v>
      </c>
      <c r="K12" s="15">
        <v>3</v>
      </c>
      <c r="L12" s="15">
        <v>3</v>
      </c>
      <c r="M12" s="182">
        <v>3</v>
      </c>
      <c r="N12" s="182">
        <v>3</v>
      </c>
      <c r="O12" s="15">
        <v>3</v>
      </c>
      <c r="P12" s="15">
        <v>3</v>
      </c>
      <c r="Q12" s="15">
        <v>3</v>
      </c>
      <c r="R12" s="15">
        <v>3</v>
      </c>
      <c r="S12" s="15">
        <v>3</v>
      </c>
      <c r="T12" s="15">
        <v>3</v>
      </c>
      <c r="U12" s="182">
        <v>3</v>
      </c>
      <c r="V12" s="15">
        <v>3</v>
      </c>
      <c r="W12" s="15">
        <v>3</v>
      </c>
      <c r="X12" s="15">
        <v>3</v>
      </c>
      <c r="Y12" s="15">
        <v>3</v>
      </c>
      <c r="Z12" s="15">
        <v>3</v>
      </c>
      <c r="AA12" s="182">
        <v>3</v>
      </c>
      <c r="AB12" s="182">
        <v>3</v>
      </c>
      <c r="AC12" s="15">
        <v>3</v>
      </c>
      <c r="AD12" s="15">
        <v>3</v>
      </c>
      <c r="AE12" s="15">
        <v>3</v>
      </c>
      <c r="AF12" s="15">
        <v>3</v>
      </c>
      <c r="AG12" s="182">
        <v>3</v>
      </c>
      <c r="AH12" s="182">
        <v>3</v>
      </c>
      <c r="AI12" s="182">
        <v>3</v>
      </c>
      <c r="AJ12" s="200">
        <v>3</v>
      </c>
      <c r="AK12" s="188" t="s">
        <v>273</v>
      </c>
      <c r="AL12" s="189" t="s">
        <v>274</v>
      </c>
      <c r="AM12" s="179">
        <v>3</v>
      </c>
      <c r="AN12" s="141">
        <v>3</v>
      </c>
      <c r="AU12" s="137" t="s">
        <v>311</v>
      </c>
      <c r="AV12" s="138" t="s">
        <v>312</v>
      </c>
      <c r="AW12" s="178">
        <v>5</v>
      </c>
      <c r="AX12" s="138">
        <v>5</v>
      </c>
    </row>
    <row r="13" spans="1:50" x14ac:dyDescent="0.4">
      <c r="A13" s="257"/>
      <c r="B13" s="185" t="s">
        <v>8</v>
      </c>
      <c r="C13" s="186" t="s">
        <v>277</v>
      </c>
      <c r="D13" s="178">
        <v>56</v>
      </c>
      <c r="E13" s="15">
        <v>57</v>
      </c>
      <c r="F13" s="15">
        <v>49</v>
      </c>
      <c r="G13" s="182">
        <v>0</v>
      </c>
      <c r="H13" s="15">
        <v>55</v>
      </c>
      <c r="I13" s="15">
        <v>55</v>
      </c>
      <c r="J13" s="15">
        <v>54</v>
      </c>
      <c r="K13" s="15">
        <v>54</v>
      </c>
      <c r="L13" s="15">
        <v>55</v>
      </c>
      <c r="M13" s="182">
        <v>0</v>
      </c>
      <c r="N13" s="182">
        <v>0</v>
      </c>
      <c r="O13" s="15">
        <v>55</v>
      </c>
      <c r="P13" s="15">
        <v>55</v>
      </c>
      <c r="Q13" s="15">
        <v>54</v>
      </c>
      <c r="R13" s="15">
        <v>54</v>
      </c>
      <c r="S13" s="15">
        <v>55</v>
      </c>
      <c r="T13" s="15">
        <v>49</v>
      </c>
      <c r="U13" s="182">
        <v>0</v>
      </c>
      <c r="V13" s="15">
        <v>55</v>
      </c>
      <c r="W13" s="15">
        <v>55</v>
      </c>
      <c r="X13" s="15">
        <v>54</v>
      </c>
      <c r="Y13" s="15">
        <v>54</v>
      </c>
      <c r="Z13" s="15">
        <v>55</v>
      </c>
      <c r="AA13" s="182">
        <v>0</v>
      </c>
      <c r="AB13" s="182">
        <v>0</v>
      </c>
      <c r="AC13" s="15">
        <v>55</v>
      </c>
      <c r="AD13" s="15">
        <v>55</v>
      </c>
      <c r="AE13" s="15">
        <v>54</v>
      </c>
      <c r="AF13" s="15">
        <v>54</v>
      </c>
      <c r="AG13" s="182">
        <v>0</v>
      </c>
      <c r="AH13" s="182">
        <v>0</v>
      </c>
      <c r="AI13" s="182">
        <v>0</v>
      </c>
      <c r="AJ13" s="202">
        <v>0</v>
      </c>
      <c r="AU13" s="137" t="s">
        <v>313</v>
      </c>
      <c r="AV13" s="138" t="s">
        <v>314</v>
      </c>
      <c r="AW13" s="178">
        <v>1000</v>
      </c>
      <c r="AX13" s="138">
        <v>1000</v>
      </c>
    </row>
    <row r="14" spans="1:50" x14ac:dyDescent="0.4">
      <c r="A14" s="257"/>
      <c r="B14" s="185" t="s">
        <v>278</v>
      </c>
      <c r="C14" s="186" t="s">
        <v>279</v>
      </c>
      <c r="D14" s="178">
        <v>1</v>
      </c>
      <c r="E14" s="15">
        <v>0</v>
      </c>
      <c r="F14" s="15">
        <v>1</v>
      </c>
      <c r="G14" s="182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82">
        <v>0</v>
      </c>
      <c r="N14" s="182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82">
        <v>0</v>
      </c>
      <c r="V14" s="15">
        <v>0</v>
      </c>
      <c r="W14" s="15">
        <v>0</v>
      </c>
      <c r="X14" s="15">
        <v>0</v>
      </c>
      <c r="Y14" s="15">
        <v>1</v>
      </c>
      <c r="Z14" s="15">
        <v>0</v>
      </c>
      <c r="AA14" s="182">
        <v>0</v>
      </c>
      <c r="AB14" s="182">
        <v>0</v>
      </c>
      <c r="AC14" s="15">
        <v>0</v>
      </c>
      <c r="AD14" s="15">
        <v>0</v>
      </c>
      <c r="AE14" s="15">
        <v>0</v>
      </c>
      <c r="AF14" s="15">
        <v>0</v>
      </c>
      <c r="AG14" s="182">
        <v>0</v>
      </c>
      <c r="AH14" s="182">
        <v>0</v>
      </c>
      <c r="AI14" s="182">
        <v>0</v>
      </c>
      <c r="AJ14" s="202">
        <v>0</v>
      </c>
      <c r="AU14" s="137" t="s">
        <v>315</v>
      </c>
      <c r="AV14" s="138" t="s">
        <v>316</v>
      </c>
      <c r="AW14" s="178">
        <v>500</v>
      </c>
      <c r="AX14" s="138">
        <v>500</v>
      </c>
    </row>
    <row r="15" spans="1:50" x14ac:dyDescent="0.4">
      <c r="A15" s="257"/>
      <c r="B15" s="185" t="s">
        <v>220</v>
      </c>
      <c r="C15" s="186" t="s">
        <v>280</v>
      </c>
      <c r="D15" s="178">
        <v>0</v>
      </c>
      <c r="E15" s="15">
        <v>5</v>
      </c>
      <c r="F15" s="15">
        <v>5</v>
      </c>
      <c r="G15" s="182">
        <v>0</v>
      </c>
      <c r="H15" s="15">
        <v>5</v>
      </c>
      <c r="I15" s="15">
        <v>5</v>
      </c>
      <c r="J15" s="15">
        <v>0</v>
      </c>
      <c r="K15" s="15">
        <v>0</v>
      </c>
      <c r="L15" s="15">
        <v>0</v>
      </c>
      <c r="M15" s="182">
        <v>0</v>
      </c>
      <c r="N15" s="182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>
        <v>0</v>
      </c>
      <c r="U15" s="182">
        <v>0</v>
      </c>
      <c r="V15" s="15">
        <v>0</v>
      </c>
      <c r="W15" s="15">
        <v>0</v>
      </c>
      <c r="X15" s="15">
        <v>0</v>
      </c>
      <c r="Y15" s="15">
        <v>0</v>
      </c>
      <c r="Z15" s="15">
        <v>0</v>
      </c>
      <c r="AA15" s="182">
        <v>0</v>
      </c>
      <c r="AB15" s="182">
        <v>0</v>
      </c>
      <c r="AC15" s="15">
        <v>0</v>
      </c>
      <c r="AD15" s="15">
        <v>0</v>
      </c>
      <c r="AE15" s="15">
        <v>0</v>
      </c>
      <c r="AF15" s="15">
        <v>0</v>
      </c>
      <c r="AG15" s="182">
        <v>0</v>
      </c>
      <c r="AH15" s="182">
        <v>0</v>
      </c>
      <c r="AI15" s="182">
        <v>0</v>
      </c>
      <c r="AJ15" s="202">
        <v>0</v>
      </c>
      <c r="AU15" s="137" t="s">
        <v>317</v>
      </c>
      <c r="AV15" s="138" t="s">
        <v>318</v>
      </c>
      <c r="AW15" s="178">
        <v>100</v>
      </c>
      <c r="AX15" s="138">
        <v>100</v>
      </c>
    </row>
    <row r="16" spans="1:50" ht="19.5" thickBot="1" x14ac:dyDescent="0.45">
      <c r="A16" s="258"/>
      <c r="B16" s="188" t="s">
        <v>221</v>
      </c>
      <c r="C16" s="189" t="s">
        <v>281</v>
      </c>
      <c r="D16" s="226">
        <v>3</v>
      </c>
      <c r="E16" s="227">
        <v>3</v>
      </c>
      <c r="F16" s="227">
        <v>5</v>
      </c>
      <c r="G16" s="183">
        <v>1</v>
      </c>
      <c r="H16" s="227">
        <v>4</v>
      </c>
      <c r="I16" s="227">
        <v>4</v>
      </c>
      <c r="J16" s="227">
        <v>3</v>
      </c>
      <c r="K16" s="227">
        <v>4</v>
      </c>
      <c r="L16" s="227">
        <v>4</v>
      </c>
      <c r="M16" s="183">
        <v>1</v>
      </c>
      <c r="N16" s="183">
        <v>1</v>
      </c>
      <c r="O16" s="227">
        <v>10</v>
      </c>
      <c r="P16" s="227">
        <v>5</v>
      </c>
      <c r="Q16" s="227">
        <v>2</v>
      </c>
      <c r="R16" s="227">
        <v>2</v>
      </c>
      <c r="S16" s="227">
        <v>2</v>
      </c>
      <c r="T16" s="227">
        <v>6</v>
      </c>
      <c r="U16" s="183">
        <v>0</v>
      </c>
      <c r="V16" s="227">
        <v>4</v>
      </c>
      <c r="W16" s="227">
        <v>3</v>
      </c>
      <c r="X16" s="227">
        <v>3</v>
      </c>
      <c r="Y16" s="227">
        <v>3</v>
      </c>
      <c r="Z16" s="227">
        <v>4</v>
      </c>
      <c r="AA16" s="183">
        <v>0</v>
      </c>
      <c r="AB16" s="183">
        <v>0</v>
      </c>
      <c r="AC16" s="227">
        <v>9</v>
      </c>
      <c r="AD16" s="227">
        <v>7</v>
      </c>
      <c r="AE16" s="227">
        <v>8</v>
      </c>
      <c r="AF16" s="227">
        <v>9</v>
      </c>
      <c r="AG16" s="183">
        <v>0</v>
      </c>
      <c r="AH16" s="183">
        <v>0</v>
      </c>
      <c r="AI16" s="183">
        <v>0</v>
      </c>
      <c r="AJ16" s="203">
        <v>0</v>
      </c>
      <c r="AU16" s="137" t="s">
        <v>319</v>
      </c>
      <c r="AV16" s="138" t="s">
        <v>320</v>
      </c>
      <c r="AW16" s="178">
        <v>10</v>
      </c>
      <c r="AX16" s="138">
        <v>10</v>
      </c>
    </row>
    <row r="17" spans="1:50" ht="19.5" thickBot="1" x14ac:dyDescent="0.45">
      <c r="D17" s="173">
        <f>SUM($D$5:$D$16)</f>
        <v>66</v>
      </c>
      <c r="E17" s="115">
        <f>SUM($E$5:$E$16)</f>
        <v>71</v>
      </c>
      <c r="F17" s="115">
        <f>SUM($F$5:$F$16)</f>
        <v>66</v>
      </c>
      <c r="G17" s="190">
        <f>SUM($G$5:$G$16)</f>
        <v>12</v>
      </c>
      <c r="H17" s="115">
        <f>SUM($H$5:$H$16)</f>
        <v>70</v>
      </c>
      <c r="I17" s="115">
        <f>SUM($I$5:$I$16)</f>
        <v>70</v>
      </c>
      <c r="J17" s="115">
        <f>SUM($J$5:$J$16)</f>
        <v>63</v>
      </c>
      <c r="K17" s="115">
        <f>SUM($K$5:$K$16)</f>
        <v>64</v>
      </c>
      <c r="L17" s="115">
        <f>SUM($L$5:$L$16)</f>
        <v>65</v>
      </c>
      <c r="M17" s="190">
        <f>SUM($M$5:$M$16)</f>
        <v>12</v>
      </c>
      <c r="N17" s="190">
        <f>SUM($N$5:$N$16)</f>
        <v>12</v>
      </c>
      <c r="O17" s="115">
        <f>SUM($O$5:$O$16)</f>
        <v>71</v>
      </c>
      <c r="P17" s="115">
        <f>SUM($P$5:$P$16)</f>
        <v>66</v>
      </c>
      <c r="Q17" s="115">
        <f>SUM($Q$5:$Q$16)</f>
        <v>62</v>
      </c>
      <c r="R17" s="115">
        <f>SUM($R$5:$R$16)</f>
        <v>62</v>
      </c>
      <c r="S17" s="115">
        <f>SUM($S$5:$S$16)</f>
        <v>63</v>
      </c>
      <c r="T17" s="115">
        <f>SUM($T$5:$T$16)</f>
        <v>61</v>
      </c>
      <c r="U17" s="190">
        <f>SUM($U$5:$U$16)</f>
        <v>11</v>
      </c>
      <c r="V17" s="115">
        <f>SUM($V$5:$V$16)</f>
        <v>65</v>
      </c>
      <c r="W17" s="115">
        <f>SUM($W$5:$W$16)</f>
        <v>64</v>
      </c>
      <c r="X17" s="115">
        <f>SUM($X$5:$X$16)</f>
        <v>63</v>
      </c>
      <c r="Y17" s="115">
        <f>SUM($Y$5:$Y$16)</f>
        <v>64</v>
      </c>
      <c r="Z17" s="115">
        <f>SUM($Z$5:$Z$16)</f>
        <v>65</v>
      </c>
      <c r="AA17" s="190">
        <f>SUM($AA$5:$AA$16)</f>
        <v>11</v>
      </c>
      <c r="AB17" s="190">
        <f>SUM($AB$5:$AB$16)</f>
        <v>11</v>
      </c>
      <c r="AC17" s="115">
        <f>SUM($AC$5:$AC$16)</f>
        <v>70</v>
      </c>
      <c r="AD17" s="115">
        <f>SUM($AD$5:$AD$16)</f>
        <v>68</v>
      </c>
      <c r="AE17" s="115">
        <f>SUM($AE$5:$AE$16)</f>
        <v>68</v>
      </c>
      <c r="AF17" s="115">
        <f>SUM($AF$5:$AF$16)</f>
        <v>69</v>
      </c>
      <c r="AG17" s="190">
        <f>SUM($AG$5:$AG$16)</f>
        <v>11</v>
      </c>
      <c r="AH17" s="190">
        <f>SUM($AH$5:$AH$16)</f>
        <v>11</v>
      </c>
      <c r="AI17" s="190">
        <f>SUM($AI$5:$AI$16)</f>
        <v>11</v>
      </c>
      <c r="AJ17" s="204">
        <f>SUM($AJ$5:$AJ$16)</f>
        <v>11</v>
      </c>
      <c r="AU17" s="137" t="s">
        <v>321</v>
      </c>
      <c r="AV17" s="138" t="s">
        <v>322</v>
      </c>
      <c r="AW17" s="178">
        <v>3</v>
      </c>
      <c r="AX17" s="138">
        <v>3</v>
      </c>
    </row>
    <row r="18" spans="1:50" ht="19.5" thickBot="1" x14ac:dyDescent="0.45">
      <c r="D18" s="114" t="s">
        <v>351</v>
      </c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U18" s="140" t="s">
        <v>323</v>
      </c>
      <c r="AV18" s="141" t="s">
        <v>324</v>
      </c>
      <c r="AW18" s="179">
        <v>1500</v>
      </c>
      <c r="AX18" s="141">
        <v>1500</v>
      </c>
    </row>
    <row r="19" spans="1:50" x14ac:dyDescent="0.4">
      <c r="D19" s="114" t="s">
        <v>352</v>
      </c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</row>
    <row r="20" spans="1:50" x14ac:dyDescent="0.4">
      <c r="D20" s="114" t="s">
        <v>353</v>
      </c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</row>
    <row r="21" spans="1:50" ht="19.5" thickBot="1" x14ac:dyDescent="0.45">
      <c r="D21" s="114" t="s">
        <v>354</v>
      </c>
    </row>
    <row r="22" spans="1:50" x14ac:dyDescent="0.4">
      <c r="D22" s="22">
        <v>45260</v>
      </c>
      <c r="E22" s="225">
        <v>45261</v>
      </c>
      <c r="F22" s="225">
        <v>45262</v>
      </c>
      <c r="G22" s="176">
        <v>45263</v>
      </c>
      <c r="H22" s="225">
        <v>45264</v>
      </c>
      <c r="I22" s="225">
        <v>45265</v>
      </c>
      <c r="J22" s="225">
        <v>45266</v>
      </c>
      <c r="K22" s="225">
        <v>45267</v>
      </c>
      <c r="L22" s="225">
        <v>45268</v>
      </c>
      <c r="M22" s="176">
        <v>45269</v>
      </c>
      <c r="N22" s="176">
        <v>45270</v>
      </c>
      <c r="O22" s="225">
        <v>45271</v>
      </c>
      <c r="P22" s="225">
        <v>45272</v>
      </c>
      <c r="Q22" s="225">
        <v>45273</v>
      </c>
      <c r="R22" s="225">
        <v>45274</v>
      </c>
      <c r="S22" s="225">
        <v>45275</v>
      </c>
      <c r="T22" s="225">
        <v>45276</v>
      </c>
      <c r="U22" s="176">
        <v>45277</v>
      </c>
      <c r="V22" s="225">
        <v>45278</v>
      </c>
      <c r="W22" s="225">
        <v>45279</v>
      </c>
      <c r="X22" s="225">
        <v>45280</v>
      </c>
      <c r="Y22" s="225">
        <v>45281</v>
      </c>
      <c r="Z22" s="225">
        <v>45282</v>
      </c>
      <c r="AA22" s="176">
        <v>45283</v>
      </c>
      <c r="AB22" s="176">
        <v>45284</v>
      </c>
      <c r="AC22" s="225">
        <v>45285</v>
      </c>
      <c r="AD22" s="225">
        <v>45286</v>
      </c>
      <c r="AE22" s="225">
        <v>45287</v>
      </c>
      <c r="AF22" s="225">
        <v>45288</v>
      </c>
      <c r="AG22" s="176">
        <v>45289</v>
      </c>
      <c r="AH22" s="176">
        <v>45290</v>
      </c>
      <c r="AI22" s="176">
        <v>45291</v>
      </c>
      <c r="AJ22" s="197">
        <v>45292</v>
      </c>
    </row>
    <row r="23" spans="1:50" ht="19.5" thickBot="1" x14ac:dyDescent="0.45">
      <c r="D23" s="223">
        <v>45260</v>
      </c>
      <c r="E23" s="224">
        <v>45261</v>
      </c>
      <c r="F23" s="224">
        <v>45262</v>
      </c>
      <c r="G23" s="175">
        <v>45263</v>
      </c>
      <c r="H23" s="224">
        <v>45264</v>
      </c>
      <c r="I23" s="224">
        <v>45265</v>
      </c>
      <c r="J23" s="224">
        <v>45266</v>
      </c>
      <c r="K23" s="224">
        <v>45267</v>
      </c>
      <c r="L23" s="224">
        <v>45268</v>
      </c>
      <c r="M23" s="175">
        <v>45269</v>
      </c>
      <c r="N23" s="175">
        <v>45270</v>
      </c>
      <c r="O23" s="224">
        <v>45271</v>
      </c>
      <c r="P23" s="224">
        <v>45272</v>
      </c>
      <c r="Q23" s="224">
        <v>45273</v>
      </c>
      <c r="R23" s="224">
        <v>45274</v>
      </c>
      <c r="S23" s="224">
        <v>45275</v>
      </c>
      <c r="T23" s="224">
        <v>45276</v>
      </c>
      <c r="U23" s="175">
        <v>45277</v>
      </c>
      <c r="V23" s="224">
        <v>45278</v>
      </c>
      <c r="W23" s="224">
        <v>45279</v>
      </c>
      <c r="X23" s="224">
        <v>45280</v>
      </c>
      <c r="Y23" s="224">
        <v>45281</v>
      </c>
      <c r="Z23" s="224">
        <v>45282</v>
      </c>
      <c r="AA23" s="175">
        <v>45283</v>
      </c>
      <c r="AB23" s="175">
        <v>45284</v>
      </c>
      <c r="AC23" s="224">
        <v>45285</v>
      </c>
      <c r="AD23" s="224">
        <v>45286</v>
      </c>
      <c r="AE23" s="224">
        <v>45287</v>
      </c>
      <c r="AF23" s="224">
        <v>45288</v>
      </c>
      <c r="AG23" s="175">
        <v>45289</v>
      </c>
      <c r="AH23" s="175">
        <v>45290</v>
      </c>
      <c r="AI23" s="175">
        <v>45291</v>
      </c>
      <c r="AJ23" s="198">
        <v>45292</v>
      </c>
    </row>
    <row r="24" spans="1:50" x14ac:dyDescent="0.4">
      <c r="A24" s="256" t="s">
        <v>283</v>
      </c>
      <c r="B24" s="187" t="s">
        <v>11</v>
      </c>
      <c r="C24" s="100" t="s">
        <v>38</v>
      </c>
      <c r="D24" s="207" t="s">
        <v>264</v>
      </c>
      <c r="E24" s="2" t="s">
        <v>264</v>
      </c>
      <c r="F24" s="2" t="s">
        <v>243</v>
      </c>
      <c r="G24" s="194" t="s">
        <v>245</v>
      </c>
      <c r="H24" s="2" t="s">
        <v>327</v>
      </c>
      <c r="I24" s="2" t="s">
        <v>327</v>
      </c>
      <c r="J24" s="2" t="s">
        <v>327</v>
      </c>
      <c r="K24" s="2" t="s">
        <v>327</v>
      </c>
      <c r="L24" s="2" t="s">
        <v>327</v>
      </c>
      <c r="M24" s="194" t="s">
        <v>259</v>
      </c>
      <c r="N24" s="194" t="s">
        <v>242</v>
      </c>
      <c r="O24" s="2" t="s">
        <v>327</v>
      </c>
      <c r="P24" s="2" t="s">
        <v>327</v>
      </c>
      <c r="Q24" s="2" t="s">
        <v>327</v>
      </c>
      <c r="R24" s="2" t="s">
        <v>327</v>
      </c>
      <c r="S24" s="2" t="s">
        <v>327</v>
      </c>
      <c r="T24" s="2" t="s">
        <v>243</v>
      </c>
      <c r="U24" s="194" t="s">
        <v>242</v>
      </c>
      <c r="V24" s="2" t="s">
        <v>327</v>
      </c>
      <c r="W24" s="2" t="s">
        <v>327</v>
      </c>
      <c r="X24" s="2" t="s">
        <v>327</v>
      </c>
      <c r="Y24" s="2" t="s">
        <v>327</v>
      </c>
      <c r="Z24" s="2" t="s">
        <v>327</v>
      </c>
      <c r="AA24" s="194" t="s">
        <v>259</v>
      </c>
      <c r="AB24" s="194" t="s">
        <v>242</v>
      </c>
      <c r="AC24" s="2" t="s">
        <v>327</v>
      </c>
      <c r="AD24" s="2" t="s">
        <v>327</v>
      </c>
      <c r="AE24" s="2" t="s">
        <v>327</v>
      </c>
      <c r="AF24" s="2" t="s">
        <v>327</v>
      </c>
      <c r="AG24" s="194" t="s">
        <v>242</v>
      </c>
      <c r="AH24" s="194" t="s">
        <v>242</v>
      </c>
      <c r="AI24" s="194" t="s">
        <v>242</v>
      </c>
      <c r="AJ24" s="206" t="s">
        <v>242</v>
      </c>
    </row>
    <row r="25" spans="1:50" x14ac:dyDescent="0.4">
      <c r="A25" s="257"/>
      <c r="B25" s="185" t="s">
        <v>12</v>
      </c>
      <c r="C25" s="186" t="s">
        <v>61</v>
      </c>
      <c r="D25" s="208" t="s">
        <v>264</v>
      </c>
      <c r="E25" s="3" t="s">
        <v>264</v>
      </c>
      <c r="F25" s="3" t="s">
        <v>246</v>
      </c>
      <c r="G25" s="195" t="s">
        <v>242</v>
      </c>
      <c r="H25" s="3" t="s">
        <v>246</v>
      </c>
      <c r="I25" s="3" t="s">
        <v>246</v>
      </c>
      <c r="J25" s="3" t="s">
        <v>246</v>
      </c>
      <c r="K25" s="3" t="s">
        <v>246</v>
      </c>
      <c r="L25" s="3" t="s">
        <v>246</v>
      </c>
      <c r="M25" s="195" t="s">
        <v>242</v>
      </c>
      <c r="N25" s="195" t="s">
        <v>242</v>
      </c>
      <c r="O25" s="3" t="s">
        <v>246</v>
      </c>
      <c r="P25" s="3" t="s">
        <v>246</v>
      </c>
      <c r="Q25" s="3" t="s">
        <v>246</v>
      </c>
      <c r="R25" s="3" t="s">
        <v>246</v>
      </c>
      <c r="S25" s="3" t="s">
        <v>246</v>
      </c>
      <c r="T25" s="3" t="s">
        <v>246</v>
      </c>
      <c r="U25" s="195" t="s">
        <v>242</v>
      </c>
      <c r="V25" s="3" t="s">
        <v>246</v>
      </c>
      <c r="W25" s="3" t="s">
        <v>246</v>
      </c>
      <c r="X25" s="3" t="s">
        <v>246</v>
      </c>
      <c r="Y25" s="3" t="s">
        <v>246</v>
      </c>
      <c r="Z25" s="3" t="s">
        <v>246</v>
      </c>
      <c r="AA25" s="195" t="s">
        <v>242</v>
      </c>
      <c r="AB25" s="195" t="s">
        <v>242</v>
      </c>
      <c r="AC25" s="3" t="s">
        <v>246</v>
      </c>
      <c r="AD25" s="3" t="s">
        <v>246</v>
      </c>
      <c r="AE25" s="3" t="s">
        <v>246</v>
      </c>
      <c r="AF25" s="3" t="s">
        <v>246</v>
      </c>
      <c r="AG25" s="195" t="s">
        <v>242</v>
      </c>
      <c r="AH25" s="195" t="s">
        <v>242</v>
      </c>
      <c r="AI25" s="195" t="s">
        <v>242</v>
      </c>
      <c r="AJ25" s="205" t="s">
        <v>242</v>
      </c>
    </row>
    <row r="26" spans="1:50" x14ac:dyDescent="0.4">
      <c r="A26" s="257"/>
      <c r="B26" s="185" t="s">
        <v>13</v>
      </c>
      <c r="C26" s="186" t="s">
        <v>204</v>
      </c>
      <c r="D26" s="208" t="s">
        <v>247</v>
      </c>
      <c r="E26" s="3" t="s">
        <v>247</v>
      </c>
      <c r="F26" s="3" t="s">
        <v>247</v>
      </c>
      <c r="G26" s="195" t="s">
        <v>242</v>
      </c>
      <c r="H26" s="3" t="s">
        <v>247</v>
      </c>
      <c r="I26" s="3" t="s">
        <v>247</v>
      </c>
      <c r="J26" s="3" t="s">
        <v>247</v>
      </c>
      <c r="K26" s="3" t="s">
        <v>247</v>
      </c>
      <c r="L26" s="3" t="s">
        <v>247</v>
      </c>
      <c r="M26" s="195" t="s">
        <v>242</v>
      </c>
      <c r="N26" s="195" t="s">
        <v>242</v>
      </c>
      <c r="O26" s="3" t="s">
        <v>247</v>
      </c>
      <c r="P26" s="3" t="s">
        <v>247</v>
      </c>
      <c r="Q26" s="3" t="s">
        <v>247</v>
      </c>
      <c r="R26" s="3" t="s">
        <v>247</v>
      </c>
      <c r="S26" s="3" t="s">
        <v>247</v>
      </c>
      <c r="T26" s="3" t="s">
        <v>247</v>
      </c>
      <c r="U26" s="195" t="s">
        <v>242</v>
      </c>
      <c r="V26" s="3" t="s">
        <v>247</v>
      </c>
      <c r="W26" s="3" t="s">
        <v>247</v>
      </c>
      <c r="X26" s="3" t="s">
        <v>247</v>
      </c>
      <c r="Y26" s="3" t="s">
        <v>247</v>
      </c>
      <c r="Z26" s="3" t="s">
        <v>247</v>
      </c>
      <c r="AA26" s="195" t="s">
        <v>242</v>
      </c>
      <c r="AB26" s="195" t="s">
        <v>242</v>
      </c>
      <c r="AC26" s="3" t="s">
        <v>247</v>
      </c>
      <c r="AD26" s="3" t="s">
        <v>247</v>
      </c>
      <c r="AE26" s="3" t="s">
        <v>247</v>
      </c>
      <c r="AF26" s="3" t="s">
        <v>247</v>
      </c>
      <c r="AG26" s="195" t="s">
        <v>242</v>
      </c>
      <c r="AH26" s="195" t="s">
        <v>242</v>
      </c>
      <c r="AI26" s="195" t="s">
        <v>242</v>
      </c>
      <c r="AJ26" s="205" t="s">
        <v>242</v>
      </c>
    </row>
    <row r="27" spans="1:50" x14ac:dyDescent="0.4">
      <c r="A27" s="257"/>
      <c r="B27" s="185" t="s">
        <v>14</v>
      </c>
      <c r="C27" s="186" t="s">
        <v>203</v>
      </c>
      <c r="D27" s="208" t="s">
        <v>252</v>
      </c>
      <c r="E27" s="3" t="s">
        <v>246</v>
      </c>
      <c r="F27" s="3" t="s">
        <v>248</v>
      </c>
      <c r="G27" s="195" t="s">
        <v>242</v>
      </c>
      <c r="H27" s="3" t="s">
        <v>248</v>
      </c>
      <c r="I27" s="3" t="s">
        <v>248</v>
      </c>
      <c r="J27" s="3" t="s">
        <v>248</v>
      </c>
      <c r="K27" s="3" t="s">
        <v>248</v>
      </c>
      <c r="L27" s="3" t="s">
        <v>248</v>
      </c>
      <c r="M27" s="195" t="s">
        <v>242</v>
      </c>
      <c r="N27" s="195" t="s">
        <v>242</v>
      </c>
      <c r="O27" s="3" t="s">
        <v>248</v>
      </c>
      <c r="P27" s="3" t="s">
        <v>248</v>
      </c>
      <c r="Q27" s="3" t="s">
        <v>248</v>
      </c>
      <c r="R27" s="3" t="s">
        <v>248</v>
      </c>
      <c r="S27" s="3" t="s">
        <v>248</v>
      </c>
      <c r="T27" s="3" t="s">
        <v>248</v>
      </c>
      <c r="U27" s="195" t="s">
        <v>242</v>
      </c>
      <c r="V27" s="3" t="s">
        <v>248</v>
      </c>
      <c r="W27" s="3" t="s">
        <v>248</v>
      </c>
      <c r="X27" s="3" t="s">
        <v>248</v>
      </c>
      <c r="Y27" s="3" t="s">
        <v>248</v>
      </c>
      <c r="Z27" s="3" t="s">
        <v>248</v>
      </c>
      <c r="AA27" s="195" t="s">
        <v>242</v>
      </c>
      <c r="AB27" s="195" t="s">
        <v>242</v>
      </c>
      <c r="AC27" s="3" t="s">
        <v>248</v>
      </c>
      <c r="AD27" s="3" t="s">
        <v>248</v>
      </c>
      <c r="AE27" s="3" t="s">
        <v>248</v>
      </c>
      <c r="AF27" s="3" t="s">
        <v>248</v>
      </c>
      <c r="AG27" s="195" t="s">
        <v>242</v>
      </c>
      <c r="AH27" s="195" t="s">
        <v>242</v>
      </c>
      <c r="AI27" s="195" t="s">
        <v>242</v>
      </c>
      <c r="AJ27" s="205" t="s">
        <v>242</v>
      </c>
    </row>
    <row r="28" spans="1:50" x14ac:dyDescent="0.4">
      <c r="A28" s="257"/>
      <c r="B28" s="185" t="s">
        <v>15</v>
      </c>
      <c r="C28" s="186" t="s">
        <v>206</v>
      </c>
      <c r="D28" s="208" t="s">
        <v>247</v>
      </c>
      <c r="E28" s="3" t="s">
        <v>247</v>
      </c>
      <c r="F28" s="3" t="s">
        <v>249</v>
      </c>
      <c r="G28" s="195" t="s">
        <v>242</v>
      </c>
      <c r="H28" s="3" t="s">
        <v>248</v>
      </c>
      <c r="I28" s="3" t="s">
        <v>248</v>
      </c>
      <c r="J28" s="3" t="s">
        <v>247</v>
      </c>
      <c r="K28" s="3" t="s">
        <v>247</v>
      </c>
      <c r="L28" s="3" t="s">
        <v>248</v>
      </c>
      <c r="M28" s="195" t="s">
        <v>242</v>
      </c>
      <c r="N28" s="195" t="s">
        <v>242</v>
      </c>
      <c r="O28" s="3" t="s">
        <v>248</v>
      </c>
      <c r="P28" s="3" t="s">
        <v>248</v>
      </c>
      <c r="Q28" s="3" t="s">
        <v>247</v>
      </c>
      <c r="R28" s="3" t="s">
        <v>247</v>
      </c>
      <c r="S28" s="3" t="s">
        <v>248</v>
      </c>
      <c r="T28" s="3" t="s">
        <v>249</v>
      </c>
      <c r="U28" s="195" t="s">
        <v>242</v>
      </c>
      <c r="V28" s="3" t="s">
        <v>248</v>
      </c>
      <c r="W28" s="3" t="s">
        <v>248</v>
      </c>
      <c r="X28" s="3" t="s">
        <v>247</v>
      </c>
      <c r="Y28" s="3" t="s">
        <v>247</v>
      </c>
      <c r="Z28" s="3" t="s">
        <v>248</v>
      </c>
      <c r="AA28" s="195" t="s">
        <v>242</v>
      </c>
      <c r="AB28" s="195" t="s">
        <v>242</v>
      </c>
      <c r="AC28" s="3" t="s">
        <v>248</v>
      </c>
      <c r="AD28" s="3" t="s">
        <v>248</v>
      </c>
      <c r="AE28" s="3" t="s">
        <v>247</v>
      </c>
      <c r="AF28" s="3" t="s">
        <v>247</v>
      </c>
      <c r="AG28" s="195" t="s">
        <v>242</v>
      </c>
      <c r="AH28" s="195" t="s">
        <v>242</v>
      </c>
      <c r="AI28" s="195" t="s">
        <v>242</v>
      </c>
      <c r="AJ28" s="205" t="s">
        <v>242</v>
      </c>
    </row>
    <row r="29" spans="1:50" x14ac:dyDescent="0.4">
      <c r="A29" s="257"/>
      <c r="B29" s="185" t="s">
        <v>16</v>
      </c>
      <c r="C29" s="186" t="s">
        <v>64</v>
      </c>
      <c r="D29" s="208" t="s">
        <v>252</v>
      </c>
      <c r="E29" s="3" t="s">
        <v>252</v>
      </c>
      <c r="F29" s="3" t="s">
        <v>246</v>
      </c>
      <c r="G29" s="195" t="s">
        <v>242</v>
      </c>
      <c r="H29" s="3" t="s">
        <v>246</v>
      </c>
      <c r="I29" s="3" t="s">
        <v>246</v>
      </c>
      <c r="J29" s="3" t="s">
        <v>246</v>
      </c>
      <c r="K29" s="3" t="s">
        <v>246</v>
      </c>
      <c r="L29" s="3" t="s">
        <v>246</v>
      </c>
      <c r="M29" s="195" t="s">
        <v>242</v>
      </c>
      <c r="N29" s="195" t="s">
        <v>242</v>
      </c>
      <c r="O29" s="3" t="s">
        <v>246</v>
      </c>
      <c r="P29" s="3" t="s">
        <v>248</v>
      </c>
      <c r="Q29" s="3" t="s">
        <v>246</v>
      </c>
      <c r="R29" s="3" t="s">
        <v>246</v>
      </c>
      <c r="S29" s="3" t="s">
        <v>246</v>
      </c>
      <c r="T29" s="3" t="s">
        <v>246</v>
      </c>
      <c r="U29" s="195" t="s">
        <v>242</v>
      </c>
      <c r="V29" s="3" t="s">
        <v>246</v>
      </c>
      <c r="W29" s="3" t="s">
        <v>246</v>
      </c>
      <c r="X29" s="3" t="s">
        <v>246</v>
      </c>
      <c r="Y29" s="3" t="s">
        <v>246</v>
      </c>
      <c r="Z29" s="3" t="s">
        <v>246</v>
      </c>
      <c r="AA29" s="195" t="s">
        <v>242</v>
      </c>
      <c r="AB29" s="195" t="s">
        <v>242</v>
      </c>
      <c r="AC29" s="3" t="s">
        <v>246</v>
      </c>
      <c r="AD29" s="3" t="s">
        <v>246</v>
      </c>
      <c r="AE29" s="3" t="s">
        <v>246</v>
      </c>
      <c r="AF29" s="3" t="s">
        <v>246</v>
      </c>
      <c r="AG29" s="195" t="s">
        <v>242</v>
      </c>
      <c r="AH29" s="195" t="s">
        <v>242</v>
      </c>
      <c r="AI29" s="195" t="s">
        <v>242</v>
      </c>
      <c r="AJ29" s="205" t="s">
        <v>242</v>
      </c>
    </row>
    <row r="30" spans="1:50" x14ac:dyDescent="0.4">
      <c r="A30" s="257"/>
      <c r="B30" s="185" t="s">
        <v>17</v>
      </c>
      <c r="C30" s="186" t="s">
        <v>240</v>
      </c>
      <c r="D30" s="208" t="s">
        <v>249</v>
      </c>
      <c r="E30" s="3" t="s">
        <v>249</v>
      </c>
      <c r="F30" s="3" t="s">
        <v>242</v>
      </c>
      <c r="G30" s="195" t="s">
        <v>242</v>
      </c>
      <c r="H30" s="3" t="s">
        <v>249</v>
      </c>
      <c r="I30" s="3" t="s">
        <v>249</v>
      </c>
      <c r="J30" s="3" t="s">
        <v>249</v>
      </c>
      <c r="K30" s="3" t="s">
        <v>249</v>
      </c>
      <c r="L30" s="3" t="s">
        <v>249</v>
      </c>
      <c r="M30" s="195" t="s">
        <v>242</v>
      </c>
      <c r="N30" s="195" t="s">
        <v>242</v>
      </c>
      <c r="O30" s="3" t="s">
        <v>249</v>
      </c>
      <c r="P30" s="3" t="s">
        <v>249</v>
      </c>
      <c r="Q30" s="3" t="s">
        <v>249</v>
      </c>
      <c r="R30" s="3" t="s">
        <v>249</v>
      </c>
      <c r="S30" s="3" t="s">
        <v>249</v>
      </c>
      <c r="T30" s="3" t="s">
        <v>242</v>
      </c>
      <c r="U30" s="195" t="s">
        <v>242</v>
      </c>
      <c r="V30" s="3" t="s">
        <v>249</v>
      </c>
      <c r="W30" s="3" t="s">
        <v>249</v>
      </c>
      <c r="X30" s="3" t="s">
        <v>249</v>
      </c>
      <c r="Y30" s="3" t="s">
        <v>249</v>
      </c>
      <c r="Z30" s="3" t="s">
        <v>249</v>
      </c>
      <c r="AA30" s="195" t="s">
        <v>242</v>
      </c>
      <c r="AB30" s="195" t="s">
        <v>242</v>
      </c>
      <c r="AC30" s="3" t="s">
        <v>249</v>
      </c>
      <c r="AD30" s="3" t="s">
        <v>249</v>
      </c>
      <c r="AE30" s="3" t="s">
        <v>249</v>
      </c>
      <c r="AF30" s="3" t="s">
        <v>249</v>
      </c>
      <c r="AG30" s="195" t="s">
        <v>242</v>
      </c>
      <c r="AH30" s="195" t="s">
        <v>242</v>
      </c>
      <c r="AI30" s="195" t="s">
        <v>242</v>
      </c>
      <c r="AJ30" s="205" t="s">
        <v>242</v>
      </c>
    </row>
    <row r="31" spans="1:50" x14ac:dyDescent="0.4">
      <c r="A31" s="257"/>
      <c r="B31" s="185" t="s">
        <v>18</v>
      </c>
      <c r="C31" s="186" t="s">
        <v>276</v>
      </c>
      <c r="D31" s="208" t="s">
        <v>242</v>
      </c>
      <c r="E31" s="3" t="s">
        <v>242</v>
      </c>
      <c r="F31" s="3" t="s">
        <v>247</v>
      </c>
      <c r="G31" s="195" t="s">
        <v>242</v>
      </c>
      <c r="H31" s="3" t="s">
        <v>242</v>
      </c>
      <c r="I31" s="3" t="s">
        <v>242</v>
      </c>
      <c r="J31" s="3" t="s">
        <v>242</v>
      </c>
      <c r="K31" s="3" t="s">
        <v>242</v>
      </c>
      <c r="L31" s="3" t="s">
        <v>242</v>
      </c>
      <c r="M31" s="195" t="s">
        <v>242</v>
      </c>
      <c r="N31" s="195" t="s">
        <v>242</v>
      </c>
      <c r="O31" s="3" t="s">
        <v>242</v>
      </c>
      <c r="P31" s="3" t="s">
        <v>242</v>
      </c>
      <c r="Q31" s="3" t="s">
        <v>242</v>
      </c>
      <c r="R31" s="3" t="s">
        <v>242</v>
      </c>
      <c r="S31" s="3" t="s">
        <v>242</v>
      </c>
      <c r="T31" s="3" t="s">
        <v>247</v>
      </c>
      <c r="U31" s="195" t="s">
        <v>242</v>
      </c>
      <c r="V31" s="3" t="s">
        <v>242</v>
      </c>
      <c r="W31" s="3" t="s">
        <v>242</v>
      </c>
      <c r="X31" s="3" t="s">
        <v>242</v>
      </c>
      <c r="Y31" s="3" t="s">
        <v>242</v>
      </c>
      <c r="Z31" s="3" t="s">
        <v>242</v>
      </c>
      <c r="AA31" s="195" t="s">
        <v>242</v>
      </c>
      <c r="AB31" s="195" t="s">
        <v>242</v>
      </c>
      <c r="AC31" s="3" t="s">
        <v>242</v>
      </c>
      <c r="AD31" s="3" t="s">
        <v>242</v>
      </c>
      <c r="AE31" s="3" t="s">
        <v>242</v>
      </c>
      <c r="AF31" s="3" t="s">
        <v>242</v>
      </c>
      <c r="AG31" s="195" t="s">
        <v>242</v>
      </c>
      <c r="AH31" s="195" t="s">
        <v>242</v>
      </c>
      <c r="AI31" s="195" t="s">
        <v>242</v>
      </c>
      <c r="AJ31" s="205" t="s">
        <v>242</v>
      </c>
    </row>
    <row r="32" spans="1:50" x14ac:dyDescent="0.4">
      <c r="A32" s="257"/>
      <c r="B32" s="185" t="s">
        <v>19</v>
      </c>
      <c r="C32" s="186" t="s">
        <v>19</v>
      </c>
      <c r="D32" s="208" t="s">
        <v>250</v>
      </c>
      <c r="E32" s="3" t="s">
        <v>250</v>
      </c>
      <c r="F32" s="3" t="s">
        <v>250</v>
      </c>
      <c r="G32" s="195" t="s">
        <v>242</v>
      </c>
      <c r="H32" s="3" t="s">
        <v>250</v>
      </c>
      <c r="I32" s="3" t="s">
        <v>250</v>
      </c>
      <c r="J32" s="3" t="s">
        <v>250</v>
      </c>
      <c r="K32" s="3" t="s">
        <v>250</v>
      </c>
      <c r="L32" s="3" t="s">
        <v>250</v>
      </c>
      <c r="M32" s="195" t="s">
        <v>242</v>
      </c>
      <c r="N32" s="195" t="s">
        <v>242</v>
      </c>
      <c r="O32" s="3" t="s">
        <v>250</v>
      </c>
      <c r="P32" s="3" t="s">
        <v>250</v>
      </c>
      <c r="Q32" s="3" t="s">
        <v>250</v>
      </c>
      <c r="R32" s="3" t="s">
        <v>250</v>
      </c>
      <c r="S32" s="3" t="s">
        <v>250</v>
      </c>
      <c r="T32" s="3" t="s">
        <v>250</v>
      </c>
      <c r="U32" s="195" t="s">
        <v>242</v>
      </c>
      <c r="V32" s="3" t="s">
        <v>250</v>
      </c>
      <c r="W32" s="3" t="s">
        <v>250</v>
      </c>
      <c r="X32" s="3" t="s">
        <v>250</v>
      </c>
      <c r="Y32" s="3" t="s">
        <v>250</v>
      </c>
      <c r="Z32" s="3" t="s">
        <v>250</v>
      </c>
      <c r="AA32" s="195" t="s">
        <v>242</v>
      </c>
      <c r="AB32" s="195" t="s">
        <v>242</v>
      </c>
      <c r="AC32" s="3" t="s">
        <v>250</v>
      </c>
      <c r="AD32" s="3" t="s">
        <v>250</v>
      </c>
      <c r="AE32" s="3" t="s">
        <v>250</v>
      </c>
      <c r="AF32" s="3" t="s">
        <v>250</v>
      </c>
      <c r="AG32" s="195" t="s">
        <v>242</v>
      </c>
      <c r="AH32" s="195" t="s">
        <v>242</v>
      </c>
      <c r="AI32" s="195" t="s">
        <v>242</v>
      </c>
      <c r="AJ32" s="205" t="s">
        <v>242</v>
      </c>
    </row>
    <row r="33" spans="1:45" x14ac:dyDescent="0.4">
      <c r="A33" s="257"/>
      <c r="B33" s="185" t="s">
        <v>20</v>
      </c>
      <c r="C33" s="186" t="s">
        <v>102</v>
      </c>
      <c r="D33" s="208" t="s">
        <v>246</v>
      </c>
      <c r="E33" s="3" t="s">
        <v>246</v>
      </c>
      <c r="F33" s="3" t="s">
        <v>251</v>
      </c>
      <c r="G33" s="195" t="s">
        <v>242</v>
      </c>
      <c r="H33" s="3" t="s">
        <v>246</v>
      </c>
      <c r="I33" s="3" t="s">
        <v>246</v>
      </c>
      <c r="J33" s="3" t="s">
        <v>246</v>
      </c>
      <c r="K33" s="3" t="s">
        <v>246</v>
      </c>
      <c r="L33" s="3" t="s">
        <v>246</v>
      </c>
      <c r="M33" s="195" t="s">
        <v>242</v>
      </c>
      <c r="N33" s="195" t="s">
        <v>242</v>
      </c>
      <c r="O33" s="3" t="s">
        <v>246</v>
      </c>
      <c r="P33" s="3" t="s">
        <v>246</v>
      </c>
      <c r="Q33" s="3" t="s">
        <v>246</v>
      </c>
      <c r="R33" s="3" t="s">
        <v>246</v>
      </c>
      <c r="S33" s="3" t="s">
        <v>246</v>
      </c>
      <c r="T33" s="3" t="s">
        <v>251</v>
      </c>
      <c r="U33" s="195" t="s">
        <v>242</v>
      </c>
      <c r="V33" s="3" t="s">
        <v>246</v>
      </c>
      <c r="W33" s="3" t="s">
        <v>246</v>
      </c>
      <c r="X33" s="3" t="s">
        <v>246</v>
      </c>
      <c r="Y33" s="3" t="s">
        <v>246</v>
      </c>
      <c r="Z33" s="3" t="s">
        <v>246</v>
      </c>
      <c r="AA33" s="195" t="s">
        <v>242</v>
      </c>
      <c r="AB33" s="195" t="s">
        <v>242</v>
      </c>
      <c r="AC33" s="3" t="s">
        <v>246</v>
      </c>
      <c r="AD33" s="3" t="s">
        <v>246</v>
      </c>
      <c r="AE33" s="3" t="s">
        <v>246</v>
      </c>
      <c r="AF33" s="3" t="s">
        <v>246</v>
      </c>
      <c r="AG33" s="195" t="s">
        <v>242</v>
      </c>
      <c r="AH33" s="195" t="s">
        <v>242</v>
      </c>
      <c r="AI33" s="195" t="s">
        <v>242</v>
      </c>
      <c r="AJ33" s="205" t="s">
        <v>242</v>
      </c>
    </row>
    <row r="34" spans="1:45" x14ac:dyDescent="0.4">
      <c r="A34" s="257"/>
      <c r="B34" s="185" t="s">
        <v>21</v>
      </c>
      <c r="C34" s="186" t="s">
        <v>205</v>
      </c>
      <c r="D34" s="208" t="s">
        <v>252</v>
      </c>
      <c r="E34" s="3" t="s">
        <v>252</v>
      </c>
      <c r="F34" s="3" t="s">
        <v>252</v>
      </c>
      <c r="G34" s="195" t="s">
        <v>242</v>
      </c>
      <c r="H34" s="3" t="s">
        <v>252</v>
      </c>
      <c r="I34" s="3" t="s">
        <v>252</v>
      </c>
      <c r="J34" s="3" t="s">
        <v>252</v>
      </c>
      <c r="K34" s="3" t="s">
        <v>252</v>
      </c>
      <c r="L34" s="3" t="s">
        <v>252</v>
      </c>
      <c r="M34" s="195" t="s">
        <v>242</v>
      </c>
      <c r="N34" s="195" t="s">
        <v>242</v>
      </c>
      <c r="O34" s="3" t="s">
        <v>252</v>
      </c>
      <c r="P34" s="3" t="s">
        <v>252</v>
      </c>
      <c r="Q34" s="3" t="s">
        <v>252</v>
      </c>
      <c r="R34" s="3" t="s">
        <v>252</v>
      </c>
      <c r="S34" s="3" t="s">
        <v>252</v>
      </c>
      <c r="T34" s="3" t="s">
        <v>252</v>
      </c>
      <c r="U34" s="195" t="s">
        <v>242</v>
      </c>
      <c r="V34" s="3" t="s">
        <v>252</v>
      </c>
      <c r="W34" s="3" t="s">
        <v>252</v>
      </c>
      <c r="X34" s="3" t="s">
        <v>252</v>
      </c>
      <c r="Y34" s="3" t="s">
        <v>252</v>
      </c>
      <c r="Z34" s="3" t="s">
        <v>252</v>
      </c>
      <c r="AA34" s="195" t="s">
        <v>242</v>
      </c>
      <c r="AB34" s="195" t="s">
        <v>242</v>
      </c>
      <c r="AC34" s="3" t="s">
        <v>252</v>
      </c>
      <c r="AD34" s="3" t="s">
        <v>252</v>
      </c>
      <c r="AE34" s="3" t="s">
        <v>252</v>
      </c>
      <c r="AF34" s="3" t="s">
        <v>252</v>
      </c>
      <c r="AG34" s="195" t="s">
        <v>242</v>
      </c>
      <c r="AH34" s="195" t="s">
        <v>242</v>
      </c>
      <c r="AI34" s="195" t="s">
        <v>242</v>
      </c>
      <c r="AJ34" s="205" t="s">
        <v>242</v>
      </c>
    </row>
    <row r="35" spans="1:45" x14ac:dyDescent="0.4">
      <c r="A35" s="257"/>
      <c r="B35" s="185" t="s">
        <v>217</v>
      </c>
      <c r="C35" s="186" t="s">
        <v>119</v>
      </c>
      <c r="D35" s="208" t="s">
        <v>253</v>
      </c>
      <c r="E35" s="3" t="s">
        <v>253</v>
      </c>
      <c r="F35" s="3" t="s">
        <v>253</v>
      </c>
      <c r="G35" s="195" t="s">
        <v>242</v>
      </c>
      <c r="H35" s="3" t="s">
        <v>253</v>
      </c>
      <c r="I35" s="3" t="s">
        <v>253</v>
      </c>
      <c r="J35" s="3" t="s">
        <v>253</v>
      </c>
      <c r="K35" s="3" t="s">
        <v>253</v>
      </c>
      <c r="L35" s="3" t="s">
        <v>253</v>
      </c>
      <c r="M35" s="195" t="s">
        <v>242</v>
      </c>
      <c r="N35" s="195" t="s">
        <v>242</v>
      </c>
      <c r="O35" s="3" t="s">
        <v>253</v>
      </c>
      <c r="P35" s="3" t="s">
        <v>253</v>
      </c>
      <c r="Q35" s="3" t="s">
        <v>253</v>
      </c>
      <c r="R35" s="3" t="s">
        <v>253</v>
      </c>
      <c r="S35" s="3" t="s">
        <v>253</v>
      </c>
      <c r="T35" s="3" t="s">
        <v>253</v>
      </c>
      <c r="U35" s="195" t="s">
        <v>242</v>
      </c>
      <c r="V35" s="3" t="s">
        <v>253</v>
      </c>
      <c r="W35" s="3" t="s">
        <v>253</v>
      </c>
      <c r="X35" s="3" t="s">
        <v>253</v>
      </c>
      <c r="Y35" s="3" t="s">
        <v>253</v>
      </c>
      <c r="Z35" s="3" t="s">
        <v>253</v>
      </c>
      <c r="AA35" s="195" t="s">
        <v>242</v>
      </c>
      <c r="AB35" s="195" t="s">
        <v>242</v>
      </c>
      <c r="AC35" s="3" t="s">
        <v>253</v>
      </c>
      <c r="AD35" s="3" t="s">
        <v>253</v>
      </c>
      <c r="AE35" s="3" t="s">
        <v>253</v>
      </c>
      <c r="AF35" s="3" t="s">
        <v>253</v>
      </c>
      <c r="AG35" s="195" t="s">
        <v>242</v>
      </c>
      <c r="AH35" s="195" t="s">
        <v>242</v>
      </c>
      <c r="AI35" s="195" t="s">
        <v>242</v>
      </c>
      <c r="AJ35" s="205" t="s">
        <v>242</v>
      </c>
    </row>
    <row r="36" spans="1:45" x14ac:dyDescent="0.4">
      <c r="A36" s="257"/>
      <c r="B36" s="185" t="s">
        <v>218</v>
      </c>
      <c r="C36" s="186" t="s">
        <v>292</v>
      </c>
      <c r="D36" s="208" t="s">
        <v>254</v>
      </c>
      <c r="E36" s="3" t="s">
        <v>255</v>
      </c>
      <c r="F36" s="3" t="s">
        <v>328</v>
      </c>
      <c r="G36" s="195" t="s">
        <v>329</v>
      </c>
      <c r="H36" s="3" t="s">
        <v>246</v>
      </c>
      <c r="I36" s="3" t="s">
        <v>246</v>
      </c>
      <c r="J36" s="3" t="s">
        <v>246</v>
      </c>
      <c r="K36" s="3" t="s">
        <v>246</v>
      </c>
      <c r="L36" s="3" t="s">
        <v>246</v>
      </c>
      <c r="M36" s="195" t="s">
        <v>329</v>
      </c>
      <c r="N36" s="195" t="s">
        <v>329</v>
      </c>
      <c r="O36" s="3" t="s">
        <v>246</v>
      </c>
      <c r="P36" s="3" t="s">
        <v>246</v>
      </c>
      <c r="Q36" s="3" t="s">
        <v>246</v>
      </c>
      <c r="R36" s="3" t="s">
        <v>246</v>
      </c>
      <c r="S36" s="3" t="s">
        <v>328</v>
      </c>
      <c r="T36" s="3" t="s">
        <v>330</v>
      </c>
      <c r="U36" s="195" t="s">
        <v>331</v>
      </c>
      <c r="V36" s="3" t="s">
        <v>246</v>
      </c>
      <c r="W36" s="3" t="s">
        <v>246</v>
      </c>
      <c r="X36" s="3" t="s">
        <v>246</v>
      </c>
      <c r="Y36" s="3" t="s">
        <v>330</v>
      </c>
      <c r="Z36" s="3" t="s">
        <v>251</v>
      </c>
      <c r="AA36" s="195" t="s">
        <v>331</v>
      </c>
      <c r="AB36" s="195" t="s">
        <v>331</v>
      </c>
      <c r="AC36" s="3" t="s">
        <v>328</v>
      </c>
      <c r="AD36" s="3" t="s">
        <v>246</v>
      </c>
      <c r="AE36" s="3" t="s">
        <v>246</v>
      </c>
      <c r="AF36" s="3" t="s">
        <v>246</v>
      </c>
      <c r="AG36" s="195" t="s">
        <v>329</v>
      </c>
      <c r="AH36" s="195" t="s">
        <v>329</v>
      </c>
      <c r="AI36" s="195" t="s">
        <v>329</v>
      </c>
      <c r="AJ36" s="205" t="s">
        <v>329</v>
      </c>
    </row>
    <row r="37" spans="1:45" x14ac:dyDescent="0.4">
      <c r="A37" s="257"/>
      <c r="B37" s="185" t="s">
        <v>219</v>
      </c>
      <c r="C37" s="186" t="s">
        <v>293</v>
      </c>
      <c r="D37" s="208" t="s">
        <v>257</v>
      </c>
      <c r="E37" s="3" t="s">
        <v>242</v>
      </c>
      <c r="F37" s="3" t="s">
        <v>257</v>
      </c>
      <c r="G37" s="195" t="s">
        <v>242</v>
      </c>
      <c r="H37" s="3" t="s">
        <v>242</v>
      </c>
      <c r="I37" s="3" t="s">
        <v>242</v>
      </c>
      <c r="J37" s="3" t="s">
        <v>242</v>
      </c>
      <c r="K37" s="3" t="s">
        <v>242</v>
      </c>
      <c r="L37" s="3" t="s">
        <v>242</v>
      </c>
      <c r="M37" s="195" t="s">
        <v>242</v>
      </c>
      <c r="N37" s="195" t="s">
        <v>242</v>
      </c>
      <c r="O37" s="3" t="s">
        <v>242</v>
      </c>
      <c r="P37" s="3" t="s">
        <v>242</v>
      </c>
      <c r="Q37" s="3" t="s">
        <v>242</v>
      </c>
      <c r="R37" s="3" t="s">
        <v>242</v>
      </c>
      <c r="S37" s="3" t="s">
        <v>242</v>
      </c>
      <c r="T37" s="3" t="s">
        <v>242</v>
      </c>
      <c r="U37" s="195" t="s">
        <v>242</v>
      </c>
      <c r="V37" s="3" t="s">
        <v>242</v>
      </c>
      <c r="W37" s="3" t="s">
        <v>242</v>
      </c>
      <c r="X37" s="3" t="s">
        <v>242</v>
      </c>
      <c r="Y37" s="3" t="s">
        <v>257</v>
      </c>
      <c r="Z37" s="3" t="s">
        <v>242</v>
      </c>
      <c r="AA37" s="195" t="s">
        <v>242</v>
      </c>
      <c r="AB37" s="195" t="s">
        <v>242</v>
      </c>
      <c r="AC37" s="3" t="s">
        <v>242</v>
      </c>
      <c r="AD37" s="3" t="s">
        <v>242</v>
      </c>
      <c r="AE37" s="3" t="s">
        <v>242</v>
      </c>
      <c r="AF37" s="3" t="s">
        <v>242</v>
      </c>
      <c r="AG37" s="195" t="s">
        <v>242</v>
      </c>
      <c r="AH37" s="195" t="s">
        <v>242</v>
      </c>
      <c r="AI37" s="195" t="s">
        <v>242</v>
      </c>
      <c r="AJ37" s="205" t="s">
        <v>242</v>
      </c>
    </row>
    <row r="38" spans="1:45" x14ac:dyDescent="0.4">
      <c r="A38" s="257"/>
      <c r="B38" s="185" t="s">
        <v>220</v>
      </c>
      <c r="C38" s="186" t="s">
        <v>295</v>
      </c>
      <c r="D38" s="208" t="s">
        <v>259</v>
      </c>
      <c r="E38" s="3" t="s">
        <v>257</v>
      </c>
      <c r="F38" s="3" t="s">
        <v>244</v>
      </c>
      <c r="G38" s="195" t="s">
        <v>242</v>
      </c>
      <c r="H38" s="3" t="s">
        <v>242</v>
      </c>
      <c r="I38" s="3" t="s">
        <v>242</v>
      </c>
      <c r="J38" s="3" t="s">
        <v>242</v>
      </c>
      <c r="K38" s="3" t="s">
        <v>242</v>
      </c>
      <c r="L38" s="3" t="s">
        <v>252</v>
      </c>
      <c r="M38" s="195" t="s">
        <v>244</v>
      </c>
      <c r="N38" s="195" t="s">
        <v>242</v>
      </c>
      <c r="O38" s="3" t="s">
        <v>327</v>
      </c>
      <c r="P38" s="3" t="s">
        <v>242</v>
      </c>
      <c r="Q38" s="3" t="s">
        <v>242</v>
      </c>
      <c r="R38" s="3" t="s">
        <v>242</v>
      </c>
      <c r="S38" s="3" t="s">
        <v>242</v>
      </c>
      <c r="T38" s="3" t="s">
        <v>259</v>
      </c>
      <c r="U38" s="195" t="s">
        <v>242</v>
      </c>
      <c r="V38" s="3" t="s">
        <v>242</v>
      </c>
      <c r="W38" s="3" t="s">
        <v>242</v>
      </c>
      <c r="X38" s="3" t="s">
        <v>242</v>
      </c>
      <c r="Y38" s="3" t="s">
        <v>242</v>
      </c>
      <c r="Z38" s="3" t="s">
        <v>242</v>
      </c>
      <c r="AA38" s="195" t="s">
        <v>244</v>
      </c>
      <c r="AB38" s="195" t="s">
        <v>242</v>
      </c>
      <c r="AC38" s="3" t="s">
        <v>242</v>
      </c>
      <c r="AD38" s="3" t="s">
        <v>242</v>
      </c>
      <c r="AE38" s="3" t="s">
        <v>242</v>
      </c>
      <c r="AF38" s="3" t="s">
        <v>242</v>
      </c>
      <c r="AG38" s="195" t="s">
        <v>242</v>
      </c>
      <c r="AH38" s="195" t="s">
        <v>242</v>
      </c>
      <c r="AI38" s="195" t="s">
        <v>242</v>
      </c>
      <c r="AJ38" s="205" t="s">
        <v>242</v>
      </c>
    </row>
    <row r="39" spans="1:45" x14ac:dyDescent="0.4">
      <c r="A39" s="257"/>
      <c r="B39" s="185" t="s">
        <v>221</v>
      </c>
      <c r="C39" s="186" t="s">
        <v>296</v>
      </c>
      <c r="D39" s="208" t="s">
        <v>256</v>
      </c>
      <c r="E39" s="3" t="s">
        <v>256</v>
      </c>
      <c r="F39" s="3" t="s">
        <v>244</v>
      </c>
      <c r="G39" s="195" t="s">
        <v>257</v>
      </c>
      <c r="H39" s="3" t="s">
        <v>260</v>
      </c>
      <c r="I39" s="3" t="s">
        <v>260</v>
      </c>
      <c r="J39" s="3" t="s">
        <v>256</v>
      </c>
      <c r="K39" s="3" t="s">
        <v>260</v>
      </c>
      <c r="L39" s="3" t="s">
        <v>260</v>
      </c>
      <c r="M39" s="195" t="s">
        <v>257</v>
      </c>
      <c r="N39" s="195" t="s">
        <v>257</v>
      </c>
      <c r="O39" s="3" t="s">
        <v>263</v>
      </c>
      <c r="P39" s="3" t="s">
        <v>244</v>
      </c>
      <c r="Q39" s="3" t="s">
        <v>245</v>
      </c>
      <c r="R39" s="3" t="s">
        <v>245</v>
      </c>
      <c r="S39" s="3" t="s">
        <v>245</v>
      </c>
      <c r="T39" s="3" t="s">
        <v>259</v>
      </c>
      <c r="U39" s="195" t="s">
        <v>242</v>
      </c>
      <c r="V39" s="3" t="s">
        <v>260</v>
      </c>
      <c r="W39" s="3" t="s">
        <v>256</v>
      </c>
      <c r="X39" s="3" t="s">
        <v>256</v>
      </c>
      <c r="Y39" s="3" t="s">
        <v>256</v>
      </c>
      <c r="Z39" s="3" t="s">
        <v>260</v>
      </c>
      <c r="AA39" s="195" t="s">
        <v>242</v>
      </c>
      <c r="AB39" s="195" t="s">
        <v>242</v>
      </c>
      <c r="AC39" s="3" t="s">
        <v>261</v>
      </c>
      <c r="AD39" s="3" t="s">
        <v>262</v>
      </c>
      <c r="AE39" s="3" t="s">
        <v>258</v>
      </c>
      <c r="AF39" s="3" t="s">
        <v>261</v>
      </c>
      <c r="AG39" s="195" t="s">
        <v>242</v>
      </c>
      <c r="AH39" s="195" t="s">
        <v>242</v>
      </c>
      <c r="AI39" s="195" t="s">
        <v>242</v>
      </c>
      <c r="AJ39" s="205" t="s">
        <v>242</v>
      </c>
    </row>
    <row r="40" spans="1:45" ht="19.5" thickBot="1" x14ac:dyDescent="0.45">
      <c r="A40" s="258"/>
      <c r="B40" s="188" t="s">
        <v>222</v>
      </c>
      <c r="C40" s="189" t="s">
        <v>297</v>
      </c>
      <c r="D40" s="209" t="s">
        <v>242</v>
      </c>
      <c r="E40" s="4" t="s">
        <v>242</v>
      </c>
      <c r="F40" s="4" t="s">
        <v>242</v>
      </c>
      <c r="G40" s="210" t="s">
        <v>242</v>
      </c>
      <c r="H40" s="4" t="s">
        <v>242</v>
      </c>
      <c r="I40" s="4" t="s">
        <v>242</v>
      </c>
      <c r="J40" s="4" t="s">
        <v>242</v>
      </c>
      <c r="K40" s="4" t="s">
        <v>242</v>
      </c>
      <c r="L40" s="4" t="s">
        <v>242</v>
      </c>
      <c r="M40" s="210" t="s">
        <v>242</v>
      </c>
      <c r="N40" s="210" t="s">
        <v>242</v>
      </c>
      <c r="O40" s="4" t="s">
        <v>242</v>
      </c>
      <c r="P40" s="4" t="s">
        <v>242</v>
      </c>
      <c r="Q40" s="4" t="s">
        <v>242</v>
      </c>
      <c r="R40" s="4" t="s">
        <v>242</v>
      </c>
      <c r="S40" s="4" t="s">
        <v>242</v>
      </c>
      <c r="T40" s="4" t="s">
        <v>242</v>
      </c>
      <c r="U40" s="210" t="s">
        <v>242</v>
      </c>
      <c r="V40" s="4" t="s">
        <v>242</v>
      </c>
      <c r="W40" s="4" t="s">
        <v>242</v>
      </c>
      <c r="X40" s="4" t="s">
        <v>242</v>
      </c>
      <c r="Y40" s="4" t="s">
        <v>242</v>
      </c>
      <c r="Z40" s="4" t="s">
        <v>242</v>
      </c>
      <c r="AA40" s="210" t="s">
        <v>242</v>
      </c>
      <c r="AB40" s="210" t="s">
        <v>242</v>
      </c>
      <c r="AC40" s="4" t="s">
        <v>242</v>
      </c>
      <c r="AD40" s="4" t="s">
        <v>242</v>
      </c>
      <c r="AE40" s="4" t="s">
        <v>242</v>
      </c>
      <c r="AF40" s="4" t="s">
        <v>242</v>
      </c>
      <c r="AG40" s="210" t="s">
        <v>242</v>
      </c>
      <c r="AH40" s="210" t="s">
        <v>242</v>
      </c>
      <c r="AI40" s="210" t="s">
        <v>242</v>
      </c>
      <c r="AJ40" s="211" t="s">
        <v>242</v>
      </c>
    </row>
    <row r="41" spans="1:45" ht="19.5" thickBot="1" x14ac:dyDescent="0.45">
      <c r="D41" s="20" t="s">
        <v>332</v>
      </c>
      <c r="E41" s="19" t="s">
        <v>333</v>
      </c>
      <c r="F41" s="19" t="s">
        <v>334</v>
      </c>
      <c r="G41" s="212" t="s">
        <v>335</v>
      </c>
      <c r="H41" s="19" t="s">
        <v>336</v>
      </c>
      <c r="I41" s="19" t="s">
        <v>336</v>
      </c>
      <c r="J41" s="19" t="s">
        <v>337</v>
      </c>
      <c r="K41" s="19" t="s">
        <v>338</v>
      </c>
      <c r="L41" s="19" t="s">
        <v>360</v>
      </c>
      <c r="M41" s="212" t="s">
        <v>339</v>
      </c>
      <c r="N41" s="212" t="s">
        <v>331</v>
      </c>
      <c r="O41" s="19" t="s">
        <v>361</v>
      </c>
      <c r="P41" s="19" t="s">
        <v>362</v>
      </c>
      <c r="Q41" s="19" t="s">
        <v>341</v>
      </c>
      <c r="R41" s="19" t="s">
        <v>341</v>
      </c>
      <c r="S41" s="19" t="s">
        <v>342</v>
      </c>
      <c r="T41" s="19" t="s">
        <v>343</v>
      </c>
      <c r="U41" s="212" t="s">
        <v>331</v>
      </c>
      <c r="V41" s="19" t="s">
        <v>336</v>
      </c>
      <c r="W41" s="19" t="s">
        <v>342</v>
      </c>
      <c r="X41" s="19" t="s">
        <v>337</v>
      </c>
      <c r="Y41" s="19" t="s">
        <v>344</v>
      </c>
      <c r="Z41" s="19" t="s">
        <v>345</v>
      </c>
      <c r="AA41" s="212" t="s">
        <v>339</v>
      </c>
      <c r="AB41" s="212" t="s">
        <v>331</v>
      </c>
      <c r="AC41" s="19" t="s">
        <v>340</v>
      </c>
      <c r="AD41" s="19" t="s">
        <v>345</v>
      </c>
      <c r="AE41" s="19" t="s">
        <v>346</v>
      </c>
      <c r="AF41" s="19" t="s">
        <v>347</v>
      </c>
      <c r="AG41" s="212" t="s">
        <v>329</v>
      </c>
      <c r="AH41" s="212" t="s">
        <v>329</v>
      </c>
      <c r="AI41" s="212" t="s">
        <v>329</v>
      </c>
      <c r="AJ41" s="213" t="s">
        <v>329</v>
      </c>
    </row>
    <row r="42" spans="1:45" x14ac:dyDescent="0.4">
      <c r="D42" s="114" t="s">
        <v>355</v>
      </c>
    </row>
    <row r="43" spans="1:45" x14ac:dyDescent="0.4">
      <c r="D43" s="114" t="s">
        <v>356</v>
      </c>
    </row>
    <row r="44" spans="1:45" ht="19.5" thickBot="1" x14ac:dyDescent="0.45">
      <c r="D44" s="114" t="s">
        <v>357</v>
      </c>
    </row>
    <row r="45" spans="1:45" ht="19.5" thickBot="1" x14ac:dyDescent="0.45">
      <c r="D45" s="22">
        <v>45260</v>
      </c>
      <c r="E45" s="225">
        <v>45261</v>
      </c>
      <c r="F45" s="225">
        <v>45262</v>
      </c>
      <c r="G45" s="176">
        <v>45263</v>
      </c>
      <c r="H45" s="225">
        <v>45264</v>
      </c>
      <c r="I45" s="225">
        <v>45265</v>
      </c>
      <c r="J45" s="225">
        <v>45266</v>
      </c>
      <c r="K45" s="225">
        <v>45267</v>
      </c>
      <c r="L45" s="225">
        <v>45268</v>
      </c>
      <c r="M45" s="176">
        <v>45269</v>
      </c>
      <c r="N45" s="176">
        <v>45270</v>
      </c>
      <c r="O45" s="225">
        <v>45271</v>
      </c>
      <c r="P45" s="225">
        <v>45272</v>
      </c>
      <c r="Q45" s="225">
        <v>45273</v>
      </c>
      <c r="R45" s="225">
        <v>45274</v>
      </c>
      <c r="S45" s="225">
        <v>45275</v>
      </c>
      <c r="T45" s="225">
        <v>45276</v>
      </c>
      <c r="U45" s="176">
        <v>45277</v>
      </c>
      <c r="V45" s="225">
        <v>45278</v>
      </c>
      <c r="W45" s="225">
        <v>45279</v>
      </c>
      <c r="X45" s="225">
        <v>45280</v>
      </c>
      <c r="Y45" s="225">
        <v>45281</v>
      </c>
      <c r="Z45" s="225">
        <v>45282</v>
      </c>
      <c r="AA45" s="176">
        <v>45283</v>
      </c>
      <c r="AB45" s="176">
        <v>45284</v>
      </c>
      <c r="AC45" s="225">
        <v>45285</v>
      </c>
      <c r="AD45" s="225">
        <v>45286</v>
      </c>
      <c r="AE45" s="225">
        <v>45287</v>
      </c>
      <c r="AF45" s="225">
        <v>45288</v>
      </c>
      <c r="AG45" s="176">
        <v>45289</v>
      </c>
      <c r="AH45" s="176">
        <v>45290</v>
      </c>
      <c r="AI45" s="176">
        <v>45291</v>
      </c>
      <c r="AJ45" s="197">
        <v>45292</v>
      </c>
    </row>
    <row r="46" spans="1:45" ht="19.5" thickBot="1" x14ac:dyDescent="0.45">
      <c r="D46" s="223">
        <v>45260</v>
      </c>
      <c r="E46" s="224">
        <v>45261</v>
      </c>
      <c r="F46" s="224">
        <v>45262</v>
      </c>
      <c r="G46" s="175">
        <v>45263</v>
      </c>
      <c r="H46" s="224">
        <v>45264</v>
      </c>
      <c r="I46" s="224">
        <v>45265</v>
      </c>
      <c r="J46" s="224">
        <v>45266</v>
      </c>
      <c r="K46" s="224">
        <v>45267</v>
      </c>
      <c r="L46" s="224">
        <v>45268</v>
      </c>
      <c r="M46" s="175">
        <v>45269</v>
      </c>
      <c r="N46" s="175">
        <v>45270</v>
      </c>
      <c r="O46" s="224">
        <v>45271</v>
      </c>
      <c r="P46" s="224">
        <v>45272</v>
      </c>
      <c r="Q46" s="224">
        <v>45273</v>
      </c>
      <c r="R46" s="224">
        <v>45274</v>
      </c>
      <c r="S46" s="224">
        <v>45275</v>
      </c>
      <c r="T46" s="224">
        <v>45276</v>
      </c>
      <c r="U46" s="175">
        <v>45277</v>
      </c>
      <c r="V46" s="224">
        <v>45278</v>
      </c>
      <c r="W46" s="224">
        <v>45279</v>
      </c>
      <c r="X46" s="224">
        <v>45280</v>
      </c>
      <c r="Y46" s="224">
        <v>45281</v>
      </c>
      <c r="Z46" s="224">
        <v>45282</v>
      </c>
      <c r="AA46" s="175">
        <v>45283</v>
      </c>
      <c r="AB46" s="175">
        <v>45284</v>
      </c>
      <c r="AC46" s="224">
        <v>45285</v>
      </c>
      <c r="AD46" s="224">
        <v>45286</v>
      </c>
      <c r="AE46" s="224">
        <v>45287</v>
      </c>
      <c r="AF46" s="224">
        <v>45288</v>
      </c>
      <c r="AG46" s="175">
        <v>45289</v>
      </c>
      <c r="AH46" s="175">
        <v>45290</v>
      </c>
      <c r="AI46" s="175">
        <v>45291</v>
      </c>
      <c r="AJ46" s="198">
        <v>45292</v>
      </c>
      <c r="AM46" s="173" t="s">
        <v>230</v>
      </c>
      <c r="AN46" s="115" t="s">
        <v>284</v>
      </c>
      <c r="AO46" s="115" t="s">
        <v>285</v>
      </c>
      <c r="AP46" s="115" t="s">
        <v>286</v>
      </c>
      <c r="AQ46" s="115" t="s">
        <v>287</v>
      </c>
      <c r="AR46" s="115" t="s">
        <v>288</v>
      </c>
      <c r="AS46" s="172" t="s">
        <v>289</v>
      </c>
    </row>
    <row r="47" spans="1:45" x14ac:dyDescent="0.4">
      <c r="A47" s="256" t="s">
        <v>275</v>
      </c>
      <c r="B47" s="187" t="s">
        <v>11</v>
      </c>
      <c r="C47" s="100" t="s">
        <v>38</v>
      </c>
      <c r="D47" s="180">
        <v>5</v>
      </c>
      <c r="E47" s="14">
        <v>5</v>
      </c>
      <c r="F47" s="14">
        <v>5</v>
      </c>
      <c r="G47" s="181">
        <v>0</v>
      </c>
      <c r="H47" s="14">
        <v>5</v>
      </c>
      <c r="I47" s="14">
        <v>5</v>
      </c>
      <c r="J47" s="14">
        <v>5</v>
      </c>
      <c r="K47" s="14">
        <v>5</v>
      </c>
      <c r="L47" s="14">
        <v>5</v>
      </c>
      <c r="M47" s="181">
        <v>0</v>
      </c>
      <c r="N47" s="181">
        <v>0</v>
      </c>
      <c r="O47" s="14">
        <v>5</v>
      </c>
      <c r="P47" s="14">
        <v>5</v>
      </c>
      <c r="Q47" s="14">
        <v>5</v>
      </c>
      <c r="R47" s="14">
        <v>5</v>
      </c>
      <c r="S47" s="14">
        <v>5</v>
      </c>
      <c r="T47" s="14">
        <v>5</v>
      </c>
      <c r="U47" s="181">
        <v>0</v>
      </c>
      <c r="V47" s="14">
        <v>5</v>
      </c>
      <c r="W47" s="14">
        <v>5</v>
      </c>
      <c r="X47" s="14">
        <v>5</v>
      </c>
      <c r="Y47" s="14">
        <v>5</v>
      </c>
      <c r="Z47" s="14">
        <v>5</v>
      </c>
      <c r="AA47" s="181">
        <v>0</v>
      </c>
      <c r="AB47" s="181">
        <v>0</v>
      </c>
      <c r="AC47" s="14">
        <v>5</v>
      </c>
      <c r="AD47" s="14">
        <v>5</v>
      </c>
      <c r="AE47" s="14">
        <v>5</v>
      </c>
      <c r="AF47" s="14">
        <v>5</v>
      </c>
      <c r="AG47" s="181">
        <v>0</v>
      </c>
      <c r="AH47" s="181">
        <v>0</v>
      </c>
      <c r="AI47" s="181">
        <v>0</v>
      </c>
      <c r="AJ47" s="199">
        <v>0</v>
      </c>
      <c r="AK47" s="187" t="s">
        <v>11</v>
      </c>
      <c r="AL47" s="100" t="s">
        <v>38</v>
      </c>
      <c r="AM47" s="180">
        <v>0</v>
      </c>
      <c r="AN47" s="14">
        <v>5</v>
      </c>
      <c r="AO47" s="14">
        <v>5</v>
      </c>
      <c r="AP47" s="14">
        <v>5</v>
      </c>
      <c r="AQ47" s="14">
        <v>5</v>
      </c>
      <c r="AR47" s="14">
        <v>5</v>
      </c>
      <c r="AS47" s="174">
        <v>5</v>
      </c>
    </row>
    <row r="48" spans="1:45" x14ac:dyDescent="0.4">
      <c r="A48" s="257"/>
      <c r="B48" s="185" t="s">
        <v>12</v>
      </c>
      <c r="C48" s="186" t="s">
        <v>61</v>
      </c>
      <c r="D48" s="178">
        <v>4</v>
      </c>
      <c r="E48" s="15">
        <v>4</v>
      </c>
      <c r="F48" s="15">
        <v>4</v>
      </c>
      <c r="G48" s="182">
        <v>0</v>
      </c>
      <c r="H48" s="15">
        <v>4</v>
      </c>
      <c r="I48" s="15">
        <v>4</v>
      </c>
      <c r="J48" s="15">
        <v>4</v>
      </c>
      <c r="K48" s="15">
        <v>4</v>
      </c>
      <c r="L48" s="15">
        <v>4</v>
      </c>
      <c r="M48" s="182">
        <v>0</v>
      </c>
      <c r="N48" s="182">
        <v>0</v>
      </c>
      <c r="O48" s="15">
        <v>4</v>
      </c>
      <c r="P48" s="15">
        <v>4</v>
      </c>
      <c r="Q48" s="15">
        <v>4</v>
      </c>
      <c r="R48" s="15">
        <v>4</v>
      </c>
      <c r="S48" s="15">
        <v>4</v>
      </c>
      <c r="T48" s="15">
        <v>4</v>
      </c>
      <c r="U48" s="182">
        <v>0</v>
      </c>
      <c r="V48" s="15">
        <v>4</v>
      </c>
      <c r="W48" s="15">
        <v>4</v>
      </c>
      <c r="X48" s="15">
        <v>4</v>
      </c>
      <c r="Y48" s="15">
        <v>4</v>
      </c>
      <c r="Z48" s="15">
        <v>4</v>
      </c>
      <c r="AA48" s="182">
        <v>0</v>
      </c>
      <c r="AB48" s="182">
        <v>0</v>
      </c>
      <c r="AC48" s="15">
        <v>4</v>
      </c>
      <c r="AD48" s="15">
        <v>4</v>
      </c>
      <c r="AE48" s="15">
        <v>4</v>
      </c>
      <c r="AF48" s="15">
        <v>4</v>
      </c>
      <c r="AG48" s="182">
        <v>0</v>
      </c>
      <c r="AH48" s="182">
        <v>0</v>
      </c>
      <c r="AI48" s="182">
        <v>0</v>
      </c>
      <c r="AJ48" s="200">
        <v>0</v>
      </c>
      <c r="AK48" s="185" t="s">
        <v>12</v>
      </c>
      <c r="AL48" s="186" t="s">
        <v>61</v>
      </c>
      <c r="AM48" s="178">
        <v>0</v>
      </c>
      <c r="AN48" s="15">
        <v>4</v>
      </c>
      <c r="AO48" s="15">
        <v>4</v>
      </c>
      <c r="AP48" s="15">
        <v>4</v>
      </c>
      <c r="AQ48" s="15">
        <v>4</v>
      </c>
      <c r="AR48" s="15">
        <v>4</v>
      </c>
      <c r="AS48" s="138">
        <v>4</v>
      </c>
    </row>
    <row r="49" spans="1:45" x14ac:dyDescent="0.4">
      <c r="A49" s="257"/>
      <c r="B49" s="185" t="s">
        <v>13</v>
      </c>
      <c r="C49" s="186" t="s">
        <v>204</v>
      </c>
      <c r="D49" s="178">
        <v>1</v>
      </c>
      <c r="E49" s="15">
        <v>1</v>
      </c>
      <c r="F49" s="15">
        <v>1</v>
      </c>
      <c r="G49" s="182">
        <v>0</v>
      </c>
      <c r="H49" s="15">
        <v>1</v>
      </c>
      <c r="I49" s="15">
        <v>1</v>
      </c>
      <c r="J49" s="15">
        <v>1</v>
      </c>
      <c r="K49" s="15">
        <v>1</v>
      </c>
      <c r="L49" s="15">
        <v>1</v>
      </c>
      <c r="M49" s="182">
        <v>0</v>
      </c>
      <c r="N49" s="182">
        <v>0</v>
      </c>
      <c r="O49" s="15">
        <v>1</v>
      </c>
      <c r="P49" s="15">
        <v>1</v>
      </c>
      <c r="Q49" s="15">
        <v>1</v>
      </c>
      <c r="R49" s="15">
        <v>1</v>
      </c>
      <c r="S49" s="15">
        <v>1</v>
      </c>
      <c r="T49" s="15">
        <v>1</v>
      </c>
      <c r="U49" s="182">
        <v>0</v>
      </c>
      <c r="V49" s="15">
        <v>1</v>
      </c>
      <c r="W49" s="15">
        <v>1</v>
      </c>
      <c r="X49" s="15">
        <v>1</v>
      </c>
      <c r="Y49" s="15">
        <v>1</v>
      </c>
      <c r="Z49" s="15">
        <v>1</v>
      </c>
      <c r="AA49" s="182">
        <v>0</v>
      </c>
      <c r="AB49" s="182">
        <v>0</v>
      </c>
      <c r="AC49" s="15">
        <v>1</v>
      </c>
      <c r="AD49" s="15">
        <v>1</v>
      </c>
      <c r="AE49" s="15">
        <v>1</v>
      </c>
      <c r="AF49" s="15">
        <v>1</v>
      </c>
      <c r="AG49" s="182">
        <v>0</v>
      </c>
      <c r="AH49" s="182">
        <v>0</v>
      </c>
      <c r="AI49" s="182">
        <v>0</v>
      </c>
      <c r="AJ49" s="200">
        <v>0</v>
      </c>
      <c r="AK49" s="185" t="s">
        <v>13</v>
      </c>
      <c r="AL49" s="186" t="s">
        <v>204</v>
      </c>
      <c r="AM49" s="178">
        <v>0</v>
      </c>
      <c r="AN49" s="15">
        <v>1</v>
      </c>
      <c r="AO49" s="15">
        <v>1</v>
      </c>
      <c r="AP49" s="15">
        <v>1</v>
      </c>
      <c r="AQ49" s="15">
        <v>1</v>
      </c>
      <c r="AR49" s="15">
        <v>1</v>
      </c>
      <c r="AS49" s="138">
        <v>1</v>
      </c>
    </row>
    <row r="50" spans="1:45" x14ac:dyDescent="0.4">
      <c r="A50" s="257"/>
      <c r="B50" s="185" t="s">
        <v>14</v>
      </c>
      <c r="C50" s="186" t="s">
        <v>203</v>
      </c>
      <c r="D50" s="178">
        <v>2</v>
      </c>
      <c r="E50" s="15">
        <v>2</v>
      </c>
      <c r="F50" s="15">
        <v>2</v>
      </c>
      <c r="G50" s="182">
        <v>0</v>
      </c>
      <c r="H50" s="15">
        <v>2</v>
      </c>
      <c r="I50" s="15">
        <v>2</v>
      </c>
      <c r="J50" s="15">
        <v>2</v>
      </c>
      <c r="K50" s="15">
        <v>2</v>
      </c>
      <c r="L50" s="15">
        <v>2</v>
      </c>
      <c r="M50" s="182">
        <v>0</v>
      </c>
      <c r="N50" s="182">
        <v>0</v>
      </c>
      <c r="O50" s="15">
        <v>2</v>
      </c>
      <c r="P50" s="15">
        <v>2</v>
      </c>
      <c r="Q50" s="15">
        <v>2</v>
      </c>
      <c r="R50" s="15">
        <v>2</v>
      </c>
      <c r="S50" s="15">
        <v>2</v>
      </c>
      <c r="T50" s="15">
        <v>2</v>
      </c>
      <c r="U50" s="182">
        <v>0</v>
      </c>
      <c r="V50" s="15">
        <v>2</v>
      </c>
      <c r="W50" s="15">
        <v>2</v>
      </c>
      <c r="X50" s="15">
        <v>2</v>
      </c>
      <c r="Y50" s="15">
        <v>2</v>
      </c>
      <c r="Z50" s="15">
        <v>2</v>
      </c>
      <c r="AA50" s="182">
        <v>0</v>
      </c>
      <c r="AB50" s="182">
        <v>0</v>
      </c>
      <c r="AC50" s="15">
        <v>2</v>
      </c>
      <c r="AD50" s="15">
        <v>2</v>
      </c>
      <c r="AE50" s="15">
        <v>2</v>
      </c>
      <c r="AF50" s="15">
        <v>2</v>
      </c>
      <c r="AG50" s="182">
        <v>0</v>
      </c>
      <c r="AH50" s="182">
        <v>0</v>
      </c>
      <c r="AI50" s="182">
        <v>0</v>
      </c>
      <c r="AJ50" s="200">
        <v>0</v>
      </c>
      <c r="AK50" s="185" t="s">
        <v>14</v>
      </c>
      <c r="AL50" s="186" t="s">
        <v>203</v>
      </c>
      <c r="AM50" s="178">
        <v>0</v>
      </c>
      <c r="AN50" s="15">
        <v>2</v>
      </c>
      <c r="AO50" s="15">
        <v>2</v>
      </c>
      <c r="AP50" s="15">
        <v>2</v>
      </c>
      <c r="AQ50" s="15">
        <v>2</v>
      </c>
      <c r="AR50" s="15">
        <v>2</v>
      </c>
      <c r="AS50" s="138">
        <v>2</v>
      </c>
    </row>
    <row r="51" spans="1:45" x14ac:dyDescent="0.4">
      <c r="A51" s="257"/>
      <c r="B51" s="185" t="s">
        <v>15</v>
      </c>
      <c r="C51" s="186" t="s">
        <v>206</v>
      </c>
      <c r="D51" s="178">
        <v>1</v>
      </c>
      <c r="E51" s="15">
        <v>1</v>
      </c>
      <c r="F51" s="15">
        <v>1</v>
      </c>
      <c r="G51" s="182">
        <v>0</v>
      </c>
      <c r="H51" s="15">
        <v>1</v>
      </c>
      <c r="I51" s="15">
        <v>1</v>
      </c>
      <c r="J51" s="15">
        <v>1</v>
      </c>
      <c r="K51" s="15">
        <v>1</v>
      </c>
      <c r="L51" s="15">
        <v>1</v>
      </c>
      <c r="M51" s="182">
        <v>0</v>
      </c>
      <c r="N51" s="182">
        <v>0</v>
      </c>
      <c r="O51" s="15">
        <v>1</v>
      </c>
      <c r="P51" s="15">
        <v>1</v>
      </c>
      <c r="Q51" s="15">
        <v>1</v>
      </c>
      <c r="R51" s="15">
        <v>1</v>
      </c>
      <c r="S51" s="15">
        <v>1</v>
      </c>
      <c r="T51" s="15">
        <v>1</v>
      </c>
      <c r="U51" s="182">
        <v>0</v>
      </c>
      <c r="V51" s="15">
        <v>1</v>
      </c>
      <c r="W51" s="15">
        <v>1</v>
      </c>
      <c r="X51" s="15">
        <v>1</v>
      </c>
      <c r="Y51" s="15">
        <v>1</v>
      </c>
      <c r="Z51" s="15">
        <v>1</v>
      </c>
      <c r="AA51" s="182">
        <v>0</v>
      </c>
      <c r="AB51" s="182">
        <v>0</v>
      </c>
      <c r="AC51" s="15">
        <v>1</v>
      </c>
      <c r="AD51" s="15">
        <v>1</v>
      </c>
      <c r="AE51" s="15">
        <v>1</v>
      </c>
      <c r="AF51" s="15">
        <v>1</v>
      </c>
      <c r="AG51" s="182">
        <v>0</v>
      </c>
      <c r="AH51" s="182">
        <v>0</v>
      </c>
      <c r="AI51" s="182">
        <v>0</v>
      </c>
      <c r="AJ51" s="200">
        <v>0</v>
      </c>
      <c r="AK51" s="185" t="s">
        <v>15</v>
      </c>
      <c r="AL51" s="186" t="s">
        <v>206</v>
      </c>
      <c r="AM51" s="178">
        <v>0</v>
      </c>
      <c r="AN51" s="15">
        <v>1</v>
      </c>
      <c r="AO51" s="15">
        <v>1</v>
      </c>
      <c r="AP51" s="15">
        <v>1</v>
      </c>
      <c r="AQ51" s="15">
        <v>1</v>
      </c>
      <c r="AR51" s="15">
        <v>1</v>
      </c>
      <c r="AS51" s="138">
        <v>1</v>
      </c>
    </row>
    <row r="52" spans="1:45" x14ac:dyDescent="0.4">
      <c r="A52" s="257"/>
      <c r="B52" s="185" t="s">
        <v>16</v>
      </c>
      <c r="C52" s="186" t="s">
        <v>64</v>
      </c>
      <c r="D52" s="178">
        <v>3</v>
      </c>
      <c r="E52" s="15">
        <v>3</v>
      </c>
      <c r="F52" s="15">
        <v>3</v>
      </c>
      <c r="G52" s="182">
        <v>0</v>
      </c>
      <c r="H52" s="15">
        <v>3</v>
      </c>
      <c r="I52" s="15">
        <v>3</v>
      </c>
      <c r="J52" s="15">
        <v>3</v>
      </c>
      <c r="K52" s="15">
        <v>3</v>
      </c>
      <c r="L52" s="15">
        <v>3</v>
      </c>
      <c r="M52" s="182">
        <v>0</v>
      </c>
      <c r="N52" s="182">
        <v>0</v>
      </c>
      <c r="O52" s="15">
        <v>3</v>
      </c>
      <c r="P52" s="15">
        <v>3</v>
      </c>
      <c r="Q52" s="15">
        <v>3</v>
      </c>
      <c r="R52" s="15">
        <v>3</v>
      </c>
      <c r="S52" s="15">
        <v>3</v>
      </c>
      <c r="T52" s="15">
        <v>3</v>
      </c>
      <c r="U52" s="182">
        <v>0</v>
      </c>
      <c r="V52" s="15">
        <v>3</v>
      </c>
      <c r="W52" s="15">
        <v>3</v>
      </c>
      <c r="X52" s="15">
        <v>3</v>
      </c>
      <c r="Y52" s="15">
        <v>3</v>
      </c>
      <c r="Z52" s="15">
        <v>3</v>
      </c>
      <c r="AA52" s="182">
        <v>0</v>
      </c>
      <c r="AB52" s="182">
        <v>0</v>
      </c>
      <c r="AC52" s="15">
        <v>3</v>
      </c>
      <c r="AD52" s="15">
        <v>3</v>
      </c>
      <c r="AE52" s="15">
        <v>3</v>
      </c>
      <c r="AF52" s="15">
        <v>3</v>
      </c>
      <c r="AG52" s="182">
        <v>0</v>
      </c>
      <c r="AH52" s="182">
        <v>0</v>
      </c>
      <c r="AI52" s="182">
        <v>0</v>
      </c>
      <c r="AJ52" s="200">
        <v>0</v>
      </c>
      <c r="AK52" s="185" t="s">
        <v>16</v>
      </c>
      <c r="AL52" s="186" t="s">
        <v>64</v>
      </c>
      <c r="AM52" s="178">
        <v>0</v>
      </c>
      <c r="AN52" s="15">
        <v>3</v>
      </c>
      <c r="AO52" s="15">
        <v>3</v>
      </c>
      <c r="AP52" s="15">
        <v>3</v>
      </c>
      <c r="AQ52" s="15">
        <v>3</v>
      </c>
      <c r="AR52" s="15">
        <v>3</v>
      </c>
      <c r="AS52" s="138">
        <v>3</v>
      </c>
    </row>
    <row r="53" spans="1:45" x14ac:dyDescent="0.4">
      <c r="A53" s="257"/>
      <c r="B53" s="185" t="s">
        <v>17</v>
      </c>
      <c r="C53" s="186" t="s">
        <v>240</v>
      </c>
      <c r="D53" s="178">
        <v>0</v>
      </c>
      <c r="E53" s="15">
        <v>0</v>
      </c>
      <c r="F53" s="15">
        <v>0</v>
      </c>
      <c r="G53" s="182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82">
        <v>0</v>
      </c>
      <c r="N53" s="182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82">
        <v>0</v>
      </c>
      <c r="V53" s="15">
        <v>0</v>
      </c>
      <c r="W53" s="15">
        <v>0</v>
      </c>
      <c r="X53" s="15">
        <v>0</v>
      </c>
      <c r="Y53" s="15">
        <v>0</v>
      </c>
      <c r="Z53" s="15">
        <v>0</v>
      </c>
      <c r="AA53" s="182">
        <v>0</v>
      </c>
      <c r="AB53" s="182">
        <v>0</v>
      </c>
      <c r="AC53" s="15">
        <v>0</v>
      </c>
      <c r="AD53" s="15">
        <v>0</v>
      </c>
      <c r="AE53" s="15">
        <v>0</v>
      </c>
      <c r="AF53" s="15">
        <v>0</v>
      </c>
      <c r="AG53" s="182">
        <v>0</v>
      </c>
      <c r="AH53" s="182">
        <v>0</v>
      </c>
      <c r="AI53" s="182">
        <v>0</v>
      </c>
      <c r="AJ53" s="200">
        <v>0</v>
      </c>
      <c r="AK53" s="185" t="s">
        <v>17</v>
      </c>
      <c r="AL53" s="186" t="s">
        <v>240</v>
      </c>
      <c r="AM53" s="178">
        <v>0</v>
      </c>
      <c r="AN53" s="15">
        <v>0</v>
      </c>
      <c r="AO53" s="15">
        <v>0</v>
      </c>
      <c r="AP53" s="15">
        <v>0</v>
      </c>
      <c r="AQ53" s="15">
        <v>0</v>
      </c>
      <c r="AR53" s="15">
        <v>0</v>
      </c>
      <c r="AS53" s="138">
        <v>0</v>
      </c>
    </row>
    <row r="54" spans="1:45" x14ac:dyDescent="0.4">
      <c r="A54" s="257"/>
      <c r="B54" s="185" t="s">
        <v>18</v>
      </c>
      <c r="C54" s="186" t="s">
        <v>276</v>
      </c>
      <c r="D54" s="178">
        <v>0</v>
      </c>
      <c r="E54" s="15">
        <v>0</v>
      </c>
      <c r="F54" s="15">
        <v>0</v>
      </c>
      <c r="G54" s="182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82">
        <v>0</v>
      </c>
      <c r="N54" s="182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82">
        <v>0</v>
      </c>
      <c r="V54" s="15">
        <v>0</v>
      </c>
      <c r="W54" s="15">
        <v>0</v>
      </c>
      <c r="X54" s="15">
        <v>0</v>
      </c>
      <c r="Y54" s="15">
        <v>0</v>
      </c>
      <c r="Z54" s="15">
        <v>0</v>
      </c>
      <c r="AA54" s="182">
        <v>0</v>
      </c>
      <c r="AB54" s="182">
        <v>0</v>
      </c>
      <c r="AC54" s="15">
        <v>0</v>
      </c>
      <c r="AD54" s="15">
        <v>0</v>
      </c>
      <c r="AE54" s="15">
        <v>0</v>
      </c>
      <c r="AF54" s="15">
        <v>0</v>
      </c>
      <c r="AG54" s="182">
        <v>0</v>
      </c>
      <c r="AH54" s="182">
        <v>0</v>
      </c>
      <c r="AI54" s="182">
        <v>0</v>
      </c>
      <c r="AJ54" s="200">
        <v>0</v>
      </c>
      <c r="AK54" s="185" t="s">
        <v>18</v>
      </c>
      <c r="AL54" s="186" t="s">
        <v>276</v>
      </c>
      <c r="AM54" s="178">
        <v>0</v>
      </c>
      <c r="AN54" s="15">
        <v>0</v>
      </c>
      <c r="AO54" s="15">
        <v>0</v>
      </c>
      <c r="AP54" s="15">
        <v>0</v>
      </c>
      <c r="AQ54" s="15">
        <v>0</v>
      </c>
      <c r="AR54" s="15">
        <v>0</v>
      </c>
      <c r="AS54" s="138">
        <v>0</v>
      </c>
    </row>
    <row r="55" spans="1:45" x14ac:dyDescent="0.4">
      <c r="A55" s="257"/>
      <c r="B55" s="185" t="s">
        <v>19</v>
      </c>
      <c r="C55" s="186" t="s">
        <v>19</v>
      </c>
      <c r="D55" s="178">
        <v>4</v>
      </c>
      <c r="E55" s="15">
        <v>4</v>
      </c>
      <c r="F55" s="15">
        <v>4</v>
      </c>
      <c r="G55" s="182">
        <v>0</v>
      </c>
      <c r="H55" s="15">
        <v>4</v>
      </c>
      <c r="I55" s="15">
        <v>4</v>
      </c>
      <c r="J55" s="15">
        <v>4</v>
      </c>
      <c r="K55" s="15">
        <v>4</v>
      </c>
      <c r="L55" s="15">
        <v>4</v>
      </c>
      <c r="M55" s="182">
        <v>0</v>
      </c>
      <c r="N55" s="182">
        <v>0</v>
      </c>
      <c r="O55" s="15">
        <v>4</v>
      </c>
      <c r="P55" s="15">
        <v>4</v>
      </c>
      <c r="Q55" s="15">
        <v>4</v>
      </c>
      <c r="R55" s="15">
        <v>4</v>
      </c>
      <c r="S55" s="15">
        <v>4</v>
      </c>
      <c r="T55" s="15">
        <v>4</v>
      </c>
      <c r="U55" s="182">
        <v>0</v>
      </c>
      <c r="V55" s="15">
        <v>4</v>
      </c>
      <c r="W55" s="15">
        <v>4</v>
      </c>
      <c r="X55" s="15">
        <v>4</v>
      </c>
      <c r="Y55" s="15">
        <v>4</v>
      </c>
      <c r="Z55" s="15">
        <v>4</v>
      </c>
      <c r="AA55" s="182">
        <v>0</v>
      </c>
      <c r="AB55" s="182">
        <v>0</v>
      </c>
      <c r="AC55" s="15">
        <v>4</v>
      </c>
      <c r="AD55" s="15">
        <v>4</v>
      </c>
      <c r="AE55" s="15">
        <v>4</v>
      </c>
      <c r="AF55" s="15">
        <v>4</v>
      </c>
      <c r="AG55" s="182">
        <v>0</v>
      </c>
      <c r="AH55" s="182">
        <v>0</v>
      </c>
      <c r="AI55" s="182">
        <v>0</v>
      </c>
      <c r="AJ55" s="200">
        <v>0</v>
      </c>
      <c r="AK55" s="185" t="s">
        <v>19</v>
      </c>
      <c r="AL55" s="186" t="s">
        <v>19</v>
      </c>
      <c r="AM55" s="178">
        <v>0</v>
      </c>
      <c r="AN55" s="15">
        <v>4</v>
      </c>
      <c r="AO55" s="15">
        <v>4</v>
      </c>
      <c r="AP55" s="15">
        <v>4</v>
      </c>
      <c r="AQ55" s="15">
        <v>4</v>
      </c>
      <c r="AR55" s="15">
        <v>4</v>
      </c>
      <c r="AS55" s="138">
        <v>4</v>
      </c>
    </row>
    <row r="56" spans="1:45" x14ac:dyDescent="0.4">
      <c r="A56" s="257"/>
      <c r="B56" s="185" t="s">
        <v>20</v>
      </c>
      <c r="C56" s="186" t="s">
        <v>102</v>
      </c>
      <c r="D56" s="178">
        <v>2</v>
      </c>
      <c r="E56" s="15">
        <v>2</v>
      </c>
      <c r="F56" s="15">
        <v>2</v>
      </c>
      <c r="G56" s="182">
        <v>0</v>
      </c>
      <c r="H56" s="15">
        <v>2</v>
      </c>
      <c r="I56" s="15">
        <v>2</v>
      </c>
      <c r="J56" s="15">
        <v>2</v>
      </c>
      <c r="K56" s="15">
        <v>2</v>
      </c>
      <c r="L56" s="15">
        <v>2</v>
      </c>
      <c r="M56" s="182">
        <v>0</v>
      </c>
      <c r="N56" s="182">
        <v>0</v>
      </c>
      <c r="O56" s="15">
        <v>2</v>
      </c>
      <c r="P56" s="15">
        <v>2</v>
      </c>
      <c r="Q56" s="15">
        <v>2</v>
      </c>
      <c r="R56" s="15">
        <v>2</v>
      </c>
      <c r="S56" s="15">
        <v>2</v>
      </c>
      <c r="T56" s="15">
        <v>2</v>
      </c>
      <c r="U56" s="182">
        <v>0</v>
      </c>
      <c r="V56" s="15">
        <v>2</v>
      </c>
      <c r="W56" s="15">
        <v>2</v>
      </c>
      <c r="X56" s="15">
        <v>2</v>
      </c>
      <c r="Y56" s="15">
        <v>2</v>
      </c>
      <c r="Z56" s="15">
        <v>2</v>
      </c>
      <c r="AA56" s="182">
        <v>0</v>
      </c>
      <c r="AB56" s="182">
        <v>0</v>
      </c>
      <c r="AC56" s="15">
        <v>2</v>
      </c>
      <c r="AD56" s="15">
        <v>2</v>
      </c>
      <c r="AE56" s="15">
        <v>2</v>
      </c>
      <c r="AF56" s="15">
        <v>2</v>
      </c>
      <c r="AG56" s="182">
        <v>0</v>
      </c>
      <c r="AH56" s="182">
        <v>0</v>
      </c>
      <c r="AI56" s="182">
        <v>0</v>
      </c>
      <c r="AJ56" s="200">
        <v>0</v>
      </c>
      <c r="AK56" s="185" t="s">
        <v>20</v>
      </c>
      <c r="AL56" s="186" t="s">
        <v>102</v>
      </c>
      <c r="AM56" s="178">
        <v>0</v>
      </c>
      <c r="AN56" s="15">
        <v>2</v>
      </c>
      <c r="AO56" s="15">
        <v>2</v>
      </c>
      <c r="AP56" s="15">
        <v>2</v>
      </c>
      <c r="AQ56" s="15">
        <v>2</v>
      </c>
      <c r="AR56" s="15">
        <v>2</v>
      </c>
      <c r="AS56" s="138">
        <v>2</v>
      </c>
    </row>
    <row r="57" spans="1:45" x14ac:dyDescent="0.4">
      <c r="A57" s="257"/>
      <c r="B57" s="185" t="s">
        <v>21</v>
      </c>
      <c r="C57" s="186" t="s">
        <v>205</v>
      </c>
      <c r="D57" s="178">
        <v>4</v>
      </c>
      <c r="E57" s="15">
        <v>4</v>
      </c>
      <c r="F57" s="15">
        <v>4</v>
      </c>
      <c r="G57" s="182">
        <v>0</v>
      </c>
      <c r="H57" s="15">
        <v>4</v>
      </c>
      <c r="I57" s="15">
        <v>4</v>
      </c>
      <c r="J57" s="15">
        <v>4</v>
      </c>
      <c r="K57" s="15">
        <v>4</v>
      </c>
      <c r="L57" s="15">
        <v>4</v>
      </c>
      <c r="M57" s="182">
        <v>0</v>
      </c>
      <c r="N57" s="182">
        <v>0</v>
      </c>
      <c r="O57" s="15">
        <v>4</v>
      </c>
      <c r="P57" s="15">
        <v>4</v>
      </c>
      <c r="Q57" s="15">
        <v>4</v>
      </c>
      <c r="R57" s="15">
        <v>4</v>
      </c>
      <c r="S57" s="15">
        <v>4</v>
      </c>
      <c r="T57" s="15">
        <v>4</v>
      </c>
      <c r="U57" s="182">
        <v>0</v>
      </c>
      <c r="V57" s="15">
        <v>4</v>
      </c>
      <c r="W57" s="15">
        <v>4</v>
      </c>
      <c r="X57" s="15">
        <v>4</v>
      </c>
      <c r="Y57" s="15">
        <v>4</v>
      </c>
      <c r="Z57" s="15">
        <v>4</v>
      </c>
      <c r="AA57" s="182">
        <v>0</v>
      </c>
      <c r="AB57" s="182">
        <v>0</v>
      </c>
      <c r="AC57" s="15">
        <v>4</v>
      </c>
      <c r="AD57" s="15">
        <v>4</v>
      </c>
      <c r="AE57" s="15">
        <v>4</v>
      </c>
      <c r="AF57" s="15">
        <v>4</v>
      </c>
      <c r="AG57" s="182">
        <v>0</v>
      </c>
      <c r="AH57" s="182">
        <v>0</v>
      </c>
      <c r="AI57" s="182">
        <v>0</v>
      </c>
      <c r="AJ57" s="200">
        <v>0</v>
      </c>
      <c r="AK57" s="185" t="s">
        <v>21</v>
      </c>
      <c r="AL57" s="186" t="s">
        <v>205</v>
      </c>
      <c r="AM57" s="178">
        <v>0</v>
      </c>
      <c r="AN57" s="15">
        <v>4</v>
      </c>
      <c r="AO57" s="15">
        <v>4</v>
      </c>
      <c r="AP57" s="15">
        <v>4</v>
      </c>
      <c r="AQ57" s="15">
        <v>4</v>
      </c>
      <c r="AR57" s="15">
        <v>4</v>
      </c>
      <c r="AS57" s="138">
        <v>4</v>
      </c>
    </row>
    <row r="58" spans="1:45" ht="19.5" thickBot="1" x14ac:dyDescent="0.45">
      <c r="A58" s="258"/>
      <c r="B58" s="188" t="s">
        <v>217</v>
      </c>
      <c r="C58" s="189" t="s">
        <v>119</v>
      </c>
      <c r="D58" s="179">
        <v>0</v>
      </c>
      <c r="E58" s="16">
        <v>0</v>
      </c>
      <c r="F58" s="16">
        <v>0</v>
      </c>
      <c r="G58" s="184">
        <v>0</v>
      </c>
      <c r="H58" s="16">
        <v>0</v>
      </c>
      <c r="I58" s="16">
        <v>0</v>
      </c>
      <c r="J58" s="16">
        <v>0</v>
      </c>
      <c r="K58" s="16">
        <v>0</v>
      </c>
      <c r="L58" s="16">
        <v>0</v>
      </c>
      <c r="M58" s="184">
        <v>0</v>
      </c>
      <c r="N58" s="184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T58" s="16">
        <v>0</v>
      </c>
      <c r="U58" s="184">
        <v>0</v>
      </c>
      <c r="V58" s="16">
        <v>0</v>
      </c>
      <c r="W58" s="16">
        <v>0</v>
      </c>
      <c r="X58" s="16">
        <v>0</v>
      </c>
      <c r="Y58" s="16">
        <v>0</v>
      </c>
      <c r="Z58" s="16">
        <v>0</v>
      </c>
      <c r="AA58" s="184">
        <v>0</v>
      </c>
      <c r="AB58" s="184">
        <v>0</v>
      </c>
      <c r="AC58" s="16">
        <v>0</v>
      </c>
      <c r="AD58" s="16">
        <v>0</v>
      </c>
      <c r="AE58" s="16">
        <v>0</v>
      </c>
      <c r="AF58" s="16">
        <v>0</v>
      </c>
      <c r="AG58" s="184">
        <v>0</v>
      </c>
      <c r="AH58" s="184">
        <v>0</v>
      </c>
      <c r="AI58" s="184">
        <v>0</v>
      </c>
      <c r="AJ58" s="201">
        <v>0</v>
      </c>
      <c r="AK58" s="188" t="s">
        <v>217</v>
      </c>
      <c r="AL58" s="189" t="s">
        <v>119</v>
      </c>
      <c r="AM58" s="179">
        <v>0</v>
      </c>
      <c r="AN58" s="16">
        <v>0</v>
      </c>
      <c r="AO58" s="16">
        <v>0</v>
      </c>
      <c r="AP58" s="16">
        <v>0</v>
      </c>
      <c r="AQ58" s="16">
        <v>0</v>
      </c>
      <c r="AR58" s="16">
        <v>0</v>
      </c>
      <c r="AS58" s="141">
        <v>0</v>
      </c>
    </row>
    <row r="59" spans="1:45" x14ac:dyDescent="0.4">
      <c r="D59" s="114" t="s">
        <v>358</v>
      </c>
    </row>
    <row r="60" spans="1:45" ht="19.5" thickBot="1" x14ac:dyDescent="0.45"/>
    <row r="61" spans="1:45" ht="19.5" thickBot="1" x14ac:dyDescent="0.45">
      <c r="D61" s="22">
        <v>45260</v>
      </c>
      <c r="E61" s="225">
        <v>45261</v>
      </c>
      <c r="F61" s="225">
        <v>45262</v>
      </c>
      <c r="G61" s="176">
        <v>45263</v>
      </c>
      <c r="H61" s="225">
        <v>45264</v>
      </c>
      <c r="I61" s="225">
        <v>45265</v>
      </c>
      <c r="J61" s="225">
        <v>45266</v>
      </c>
      <c r="K61" s="225">
        <v>45267</v>
      </c>
      <c r="L61" s="225">
        <v>45268</v>
      </c>
      <c r="M61" s="176">
        <v>45269</v>
      </c>
      <c r="N61" s="176">
        <v>45270</v>
      </c>
      <c r="O61" s="225">
        <v>45271</v>
      </c>
      <c r="P61" s="225">
        <v>45272</v>
      </c>
      <c r="Q61" s="225">
        <v>45273</v>
      </c>
      <c r="R61" s="225">
        <v>45274</v>
      </c>
      <c r="S61" s="225">
        <v>45275</v>
      </c>
      <c r="T61" s="225">
        <v>45276</v>
      </c>
      <c r="U61" s="176">
        <v>45277</v>
      </c>
      <c r="V61" s="225">
        <v>45278</v>
      </c>
      <c r="W61" s="225">
        <v>45279</v>
      </c>
      <c r="X61" s="225">
        <v>45280</v>
      </c>
      <c r="Y61" s="225">
        <v>45281</v>
      </c>
      <c r="Z61" s="225">
        <v>45282</v>
      </c>
      <c r="AA61" s="176">
        <v>45283</v>
      </c>
      <c r="AB61" s="176">
        <v>45284</v>
      </c>
      <c r="AC61" s="225">
        <v>45285</v>
      </c>
      <c r="AD61" s="225">
        <v>45286</v>
      </c>
      <c r="AE61" s="225">
        <v>45287</v>
      </c>
      <c r="AF61" s="225">
        <v>45288</v>
      </c>
      <c r="AG61" s="176">
        <v>45289</v>
      </c>
      <c r="AH61" s="176">
        <v>45290</v>
      </c>
      <c r="AI61" s="176">
        <v>45291</v>
      </c>
      <c r="AJ61" s="197">
        <v>45292</v>
      </c>
    </row>
    <row r="62" spans="1:45" ht="19.5" thickBot="1" x14ac:dyDescent="0.45">
      <c r="D62" s="223">
        <v>45260</v>
      </c>
      <c r="E62" s="224">
        <v>45261</v>
      </c>
      <c r="F62" s="224">
        <v>45262</v>
      </c>
      <c r="G62" s="175">
        <v>45263</v>
      </c>
      <c r="H62" s="224">
        <v>45264</v>
      </c>
      <c r="I62" s="224">
        <v>45265</v>
      </c>
      <c r="J62" s="224">
        <v>45266</v>
      </c>
      <c r="K62" s="224">
        <v>45267</v>
      </c>
      <c r="L62" s="224">
        <v>45268</v>
      </c>
      <c r="M62" s="175">
        <v>45269</v>
      </c>
      <c r="N62" s="175">
        <v>45270</v>
      </c>
      <c r="O62" s="224">
        <v>45271</v>
      </c>
      <c r="P62" s="224">
        <v>45272</v>
      </c>
      <c r="Q62" s="224">
        <v>45273</v>
      </c>
      <c r="R62" s="224">
        <v>45274</v>
      </c>
      <c r="S62" s="224">
        <v>45275</v>
      </c>
      <c r="T62" s="224">
        <v>45276</v>
      </c>
      <c r="U62" s="175">
        <v>45277</v>
      </c>
      <c r="V62" s="224">
        <v>45278</v>
      </c>
      <c r="W62" s="224">
        <v>45279</v>
      </c>
      <c r="X62" s="224">
        <v>45280</v>
      </c>
      <c r="Y62" s="224">
        <v>45281</v>
      </c>
      <c r="Z62" s="224">
        <v>45282</v>
      </c>
      <c r="AA62" s="175">
        <v>45283</v>
      </c>
      <c r="AB62" s="175">
        <v>45284</v>
      </c>
      <c r="AC62" s="224">
        <v>45285</v>
      </c>
      <c r="AD62" s="224">
        <v>45286</v>
      </c>
      <c r="AE62" s="224">
        <v>45287</v>
      </c>
      <c r="AF62" s="224">
        <v>45288</v>
      </c>
      <c r="AG62" s="175">
        <v>45289</v>
      </c>
      <c r="AH62" s="175">
        <v>45290</v>
      </c>
      <c r="AI62" s="175">
        <v>45291</v>
      </c>
      <c r="AJ62" s="198">
        <v>45292</v>
      </c>
      <c r="AM62" s="173" t="s">
        <v>230</v>
      </c>
      <c r="AN62" s="115" t="s">
        <v>284</v>
      </c>
      <c r="AO62" s="115" t="s">
        <v>285</v>
      </c>
      <c r="AP62" s="115" t="s">
        <v>286</v>
      </c>
      <c r="AQ62" s="115" t="s">
        <v>287</v>
      </c>
      <c r="AR62" s="115" t="s">
        <v>288</v>
      </c>
      <c r="AS62" s="172" t="s">
        <v>289</v>
      </c>
    </row>
    <row r="63" spans="1:45" x14ac:dyDescent="0.4">
      <c r="A63" s="259" t="s">
        <v>282</v>
      </c>
      <c r="B63" s="192" t="s">
        <v>11</v>
      </c>
      <c r="C63" s="100" t="s">
        <v>38</v>
      </c>
      <c r="D63" s="180">
        <v>1</v>
      </c>
      <c r="E63" s="14">
        <v>1</v>
      </c>
      <c r="F63" s="14">
        <v>1</v>
      </c>
      <c r="G63" s="181">
        <v>0</v>
      </c>
      <c r="H63" s="14">
        <v>1</v>
      </c>
      <c r="I63" s="14">
        <v>1</v>
      </c>
      <c r="J63" s="14">
        <v>1</v>
      </c>
      <c r="K63" s="14">
        <v>1</v>
      </c>
      <c r="L63" s="14">
        <v>1</v>
      </c>
      <c r="M63" s="181">
        <v>0</v>
      </c>
      <c r="N63" s="181">
        <v>0</v>
      </c>
      <c r="O63" s="14">
        <v>1</v>
      </c>
      <c r="P63" s="14">
        <v>1</v>
      </c>
      <c r="Q63" s="14">
        <v>1</v>
      </c>
      <c r="R63" s="14">
        <v>1</v>
      </c>
      <c r="S63" s="14">
        <v>1</v>
      </c>
      <c r="T63" s="14">
        <v>1</v>
      </c>
      <c r="U63" s="181">
        <v>0</v>
      </c>
      <c r="V63" s="14">
        <v>1</v>
      </c>
      <c r="W63" s="14">
        <v>1</v>
      </c>
      <c r="X63" s="14">
        <v>1</v>
      </c>
      <c r="Y63" s="14">
        <v>1</v>
      </c>
      <c r="Z63" s="14">
        <v>1</v>
      </c>
      <c r="AA63" s="181">
        <v>0</v>
      </c>
      <c r="AB63" s="181">
        <v>0</v>
      </c>
      <c r="AC63" s="14">
        <v>1</v>
      </c>
      <c r="AD63" s="14">
        <v>1</v>
      </c>
      <c r="AE63" s="14">
        <v>1</v>
      </c>
      <c r="AF63" s="14">
        <v>1</v>
      </c>
      <c r="AG63" s="181">
        <v>0</v>
      </c>
      <c r="AH63" s="181">
        <v>0</v>
      </c>
      <c r="AI63" s="181">
        <v>0</v>
      </c>
      <c r="AJ63" s="199">
        <v>0</v>
      </c>
      <c r="AK63" s="187" t="s">
        <v>11</v>
      </c>
      <c r="AL63" s="100" t="s">
        <v>38</v>
      </c>
      <c r="AM63" s="180">
        <v>0</v>
      </c>
      <c r="AN63" s="14">
        <v>1</v>
      </c>
      <c r="AO63" s="14">
        <v>1</v>
      </c>
      <c r="AP63" s="14">
        <v>1</v>
      </c>
      <c r="AQ63" s="14">
        <v>1</v>
      </c>
      <c r="AR63" s="14">
        <v>1</v>
      </c>
      <c r="AS63" s="174">
        <v>1</v>
      </c>
    </row>
    <row r="64" spans="1:45" x14ac:dyDescent="0.4">
      <c r="A64" s="260"/>
      <c r="B64" s="191" t="s">
        <v>12</v>
      </c>
      <c r="C64" s="186" t="s">
        <v>61</v>
      </c>
      <c r="D64" s="178">
        <v>1</v>
      </c>
      <c r="E64" s="15">
        <v>1</v>
      </c>
      <c r="F64" s="15">
        <v>1</v>
      </c>
      <c r="G64" s="182">
        <v>0</v>
      </c>
      <c r="H64" s="15">
        <v>1</v>
      </c>
      <c r="I64" s="15">
        <v>1</v>
      </c>
      <c r="J64" s="15">
        <v>1</v>
      </c>
      <c r="K64" s="15">
        <v>1</v>
      </c>
      <c r="L64" s="15">
        <v>1</v>
      </c>
      <c r="M64" s="182">
        <v>0</v>
      </c>
      <c r="N64" s="182">
        <v>0</v>
      </c>
      <c r="O64" s="15">
        <v>1</v>
      </c>
      <c r="P64" s="15">
        <v>1</v>
      </c>
      <c r="Q64" s="15">
        <v>1</v>
      </c>
      <c r="R64" s="15">
        <v>1</v>
      </c>
      <c r="S64" s="15">
        <v>1</v>
      </c>
      <c r="T64" s="15">
        <v>1</v>
      </c>
      <c r="U64" s="182">
        <v>0</v>
      </c>
      <c r="V64" s="15">
        <v>1</v>
      </c>
      <c r="W64" s="15">
        <v>1</v>
      </c>
      <c r="X64" s="15">
        <v>1</v>
      </c>
      <c r="Y64" s="15">
        <v>1</v>
      </c>
      <c r="Z64" s="15">
        <v>1</v>
      </c>
      <c r="AA64" s="182">
        <v>0</v>
      </c>
      <c r="AB64" s="182">
        <v>0</v>
      </c>
      <c r="AC64" s="15">
        <v>1</v>
      </c>
      <c r="AD64" s="15">
        <v>1</v>
      </c>
      <c r="AE64" s="15">
        <v>1</v>
      </c>
      <c r="AF64" s="15">
        <v>1</v>
      </c>
      <c r="AG64" s="182">
        <v>0</v>
      </c>
      <c r="AH64" s="182">
        <v>0</v>
      </c>
      <c r="AI64" s="182">
        <v>0</v>
      </c>
      <c r="AJ64" s="200">
        <v>0</v>
      </c>
      <c r="AK64" s="185" t="s">
        <v>12</v>
      </c>
      <c r="AL64" s="186" t="s">
        <v>61</v>
      </c>
      <c r="AM64" s="178">
        <v>0</v>
      </c>
      <c r="AN64" s="15">
        <v>1</v>
      </c>
      <c r="AO64" s="15">
        <v>1</v>
      </c>
      <c r="AP64" s="15">
        <v>1</v>
      </c>
      <c r="AQ64" s="15">
        <v>1</v>
      </c>
      <c r="AR64" s="15">
        <v>1</v>
      </c>
      <c r="AS64" s="138">
        <v>1</v>
      </c>
    </row>
    <row r="65" spans="1:45" x14ac:dyDescent="0.4">
      <c r="A65" s="260"/>
      <c r="B65" s="191" t="s">
        <v>13</v>
      </c>
      <c r="C65" s="186" t="s">
        <v>204</v>
      </c>
      <c r="D65" s="178">
        <v>1</v>
      </c>
      <c r="E65" s="15">
        <v>1</v>
      </c>
      <c r="F65" s="15">
        <v>1</v>
      </c>
      <c r="G65" s="182">
        <v>0</v>
      </c>
      <c r="H65" s="15">
        <v>1</v>
      </c>
      <c r="I65" s="15">
        <v>1</v>
      </c>
      <c r="J65" s="15">
        <v>1</v>
      </c>
      <c r="K65" s="15">
        <v>1</v>
      </c>
      <c r="L65" s="15">
        <v>1</v>
      </c>
      <c r="M65" s="182">
        <v>0</v>
      </c>
      <c r="N65" s="182">
        <v>0</v>
      </c>
      <c r="O65" s="15">
        <v>1</v>
      </c>
      <c r="P65" s="15">
        <v>1</v>
      </c>
      <c r="Q65" s="15">
        <v>1</v>
      </c>
      <c r="R65" s="15">
        <v>1</v>
      </c>
      <c r="S65" s="15">
        <v>1</v>
      </c>
      <c r="T65" s="15">
        <v>1</v>
      </c>
      <c r="U65" s="182">
        <v>0</v>
      </c>
      <c r="V65" s="15">
        <v>1</v>
      </c>
      <c r="W65" s="15">
        <v>1</v>
      </c>
      <c r="X65" s="15">
        <v>1</v>
      </c>
      <c r="Y65" s="15">
        <v>1</v>
      </c>
      <c r="Z65" s="15">
        <v>1</v>
      </c>
      <c r="AA65" s="182">
        <v>0</v>
      </c>
      <c r="AB65" s="182">
        <v>0</v>
      </c>
      <c r="AC65" s="15">
        <v>1</v>
      </c>
      <c r="AD65" s="15">
        <v>1</v>
      </c>
      <c r="AE65" s="15">
        <v>1</v>
      </c>
      <c r="AF65" s="15">
        <v>1</v>
      </c>
      <c r="AG65" s="182">
        <v>0</v>
      </c>
      <c r="AH65" s="182">
        <v>0</v>
      </c>
      <c r="AI65" s="182">
        <v>0</v>
      </c>
      <c r="AJ65" s="200">
        <v>0</v>
      </c>
      <c r="AK65" s="185" t="s">
        <v>13</v>
      </c>
      <c r="AL65" s="186" t="s">
        <v>204</v>
      </c>
      <c r="AM65" s="178">
        <v>0</v>
      </c>
      <c r="AN65" s="15">
        <v>1</v>
      </c>
      <c r="AO65" s="15">
        <v>1</v>
      </c>
      <c r="AP65" s="15">
        <v>1</v>
      </c>
      <c r="AQ65" s="15">
        <v>1</v>
      </c>
      <c r="AR65" s="15">
        <v>1</v>
      </c>
      <c r="AS65" s="138">
        <v>1</v>
      </c>
    </row>
    <row r="66" spans="1:45" x14ac:dyDescent="0.4">
      <c r="A66" s="260"/>
      <c r="B66" s="191" t="s">
        <v>14</v>
      </c>
      <c r="C66" s="186" t="s">
        <v>203</v>
      </c>
      <c r="D66" s="178">
        <v>1</v>
      </c>
      <c r="E66" s="15">
        <v>1</v>
      </c>
      <c r="F66" s="15">
        <v>1</v>
      </c>
      <c r="G66" s="182">
        <v>0</v>
      </c>
      <c r="H66" s="15">
        <v>1</v>
      </c>
      <c r="I66" s="15">
        <v>1</v>
      </c>
      <c r="J66" s="15">
        <v>1</v>
      </c>
      <c r="K66" s="15">
        <v>1</v>
      </c>
      <c r="L66" s="15">
        <v>1</v>
      </c>
      <c r="M66" s="182">
        <v>0</v>
      </c>
      <c r="N66" s="182">
        <v>0</v>
      </c>
      <c r="O66" s="15">
        <v>1</v>
      </c>
      <c r="P66" s="15">
        <v>1</v>
      </c>
      <c r="Q66" s="15">
        <v>1</v>
      </c>
      <c r="R66" s="15">
        <v>1</v>
      </c>
      <c r="S66" s="15">
        <v>1</v>
      </c>
      <c r="T66" s="15">
        <v>1</v>
      </c>
      <c r="U66" s="182">
        <v>0</v>
      </c>
      <c r="V66" s="15">
        <v>1</v>
      </c>
      <c r="W66" s="15">
        <v>1</v>
      </c>
      <c r="X66" s="15">
        <v>1</v>
      </c>
      <c r="Y66" s="15">
        <v>1</v>
      </c>
      <c r="Z66" s="15">
        <v>1</v>
      </c>
      <c r="AA66" s="182">
        <v>0</v>
      </c>
      <c r="AB66" s="182">
        <v>0</v>
      </c>
      <c r="AC66" s="15">
        <v>1</v>
      </c>
      <c r="AD66" s="15">
        <v>1</v>
      </c>
      <c r="AE66" s="15">
        <v>1</v>
      </c>
      <c r="AF66" s="15">
        <v>1</v>
      </c>
      <c r="AG66" s="182">
        <v>0</v>
      </c>
      <c r="AH66" s="182">
        <v>0</v>
      </c>
      <c r="AI66" s="182">
        <v>0</v>
      </c>
      <c r="AJ66" s="200">
        <v>0</v>
      </c>
      <c r="AK66" s="185" t="s">
        <v>14</v>
      </c>
      <c r="AL66" s="186" t="s">
        <v>203</v>
      </c>
      <c r="AM66" s="178">
        <v>0</v>
      </c>
      <c r="AN66" s="15">
        <v>1</v>
      </c>
      <c r="AO66" s="15">
        <v>1</v>
      </c>
      <c r="AP66" s="15">
        <v>1</v>
      </c>
      <c r="AQ66" s="15">
        <v>1</v>
      </c>
      <c r="AR66" s="15">
        <v>1</v>
      </c>
      <c r="AS66" s="138">
        <v>1</v>
      </c>
    </row>
    <row r="67" spans="1:45" x14ac:dyDescent="0.4">
      <c r="A67" s="260"/>
      <c r="B67" s="191" t="s">
        <v>15</v>
      </c>
      <c r="C67" s="186" t="s">
        <v>206</v>
      </c>
      <c r="D67" s="178">
        <v>1</v>
      </c>
      <c r="E67" s="15">
        <v>1</v>
      </c>
      <c r="F67" s="15">
        <v>1</v>
      </c>
      <c r="G67" s="182">
        <v>0</v>
      </c>
      <c r="H67" s="15">
        <v>1</v>
      </c>
      <c r="I67" s="15">
        <v>1</v>
      </c>
      <c r="J67" s="15">
        <v>1</v>
      </c>
      <c r="K67" s="15">
        <v>1</v>
      </c>
      <c r="L67" s="15">
        <v>1</v>
      </c>
      <c r="M67" s="182">
        <v>0</v>
      </c>
      <c r="N67" s="182">
        <v>0</v>
      </c>
      <c r="O67" s="15">
        <v>1</v>
      </c>
      <c r="P67" s="15">
        <v>1</v>
      </c>
      <c r="Q67" s="15">
        <v>1</v>
      </c>
      <c r="R67" s="15">
        <v>1</v>
      </c>
      <c r="S67" s="15">
        <v>1</v>
      </c>
      <c r="T67" s="15">
        <v>1</v>
      </c>
      <c r="U67" s="182">
        <v>0</v>
      </c>
      <c r="V67" s="15">
        <v>1</v>
      </c>
      <c r="W67" s="15">
        <v>1</v>
      </c>
      <c r="X67" s="15">
        <v>1</v>
      </c>
      <c r="Y67" s="15">
        <v>1</v>
      </c>
      <c r="Z67" s="15">
        <v>1</v>
      </c>
      <c r="AA67" s="182">
        <v>0</v>
      </c>
      <c r="AB67" s="182">
        <v>0</v>
      </c>
      <c r="AC67" s="15">
        <v>1</v>
      </c>
      <c r="AD67" s="15">
        <v>1</v>
      </c>
      <c r="AE67" s="15">
        <v>1</v>
      </c>
      <c r="AF67" s="15">
        <v>1</v>
      </c>
      <c r="AG67" s="182">
        <v>0</v>
      </c>
      <c r="AH67" s="182">
        <v>0</v>
      </c>
      <c r="AI67" s="182">
        <v>0</v>
      </c>
      <c r="AJ67" s="200">
        <v>0</v>
      </c>
      <c r="AK67" s="185" t="s">
        <v>15</v>
      </c>
      <c r="AL67" s="186" t="s">
        <v>206</v>
      </c>
      <c r="AM67" s="178">
        <v>0</v>
      </c>
      <c r="AN67" s="15">
        <v>1</v>
      </c>
      <c r="AO67" s="15">
        <v>1</v>
      </c>
      <c r="AP67" s="15">
        <v>1</v>
      </c>
      <c r="AQ67" s="15">
        <v>1</v>
      </c>
      <c r="AR67" s="15">
        <v>1</v>
      </c>
      <c r="AS67" s="138">
        <v>1</v>
      </c>
    </row>
    <row r="68" spans="1:45" x14ac:dyDescent="0.4">
      <c r="A68" s="260"/>
      <c r="B68" s="191" t="s">
        <v>16</v>
      </c>
      <c r="C68" s="186" t="s">
        <v>64</v>
      </c>
      <c r="D68" s="178">
        <v>1</v>
      </c>
      <c r="E68" s="15">
        <v>1</v>
      </c>
      <c r="F68" s="15">
        <v>1</v>
      </c>
      <c r="G68" s="182">
        <v>0</v>
      </c>
      <c r="H68" s="15">
        <v>1</v>
      </c>
      <c r="I68" s="15">
        <v>1</v>
      </c>
      <c r="J68" s="15">
        <v>1</v>
      </c>
      <c r="K68" s="15">
        <v>1</v>
      </c>
      <c r="L68" s="15">
        <v>1</v>
      </c>
      <c r="M68" s="182">
        <v>0</v>
      </c>
      <c r="N68" s="182">
        <v>0</v>
      </c>
      <c r="O68" s="15">
        <v>1</v>
      </c>
      <c r="P68" s="15">
        <v>1</v>
      </c>
      <c r="Q68" s="15">
        <v>1</v>
      </c>
      <c r="R68" s="15">
        <v>1</v>
      </c>
      <c r="S68" s="15">
        <v>1</v>
      </c>
      <c r="T68" s="15">
        <v>1</v>
      </c>
      <c r="U68" s="182">
        <v>0</v>
      </c>
      <c r="V68" s="15">
        <v>1</v>
      </c>
      <c r="W68" s="15">
        <v>1</v>
      </c>
      <c r="X68" s="15">
        <v>1</v>
      </c>
      <c r="Y68" s="15">
        <v>1</v>
      </c>
      <c r="Z68" s="15">
        <v>1</v>
      </c>
      <c r="AA68" s="182">
        <v>0</v>
      </c>
      <c r="AB68" s="182">
        <v>0</v>
      </c>
      <c r="AC68" s="15">
        <v>1</v>
      </c>
      <c r="AD68" s="15">
        <v>1</v>
      </c>
      <c r="AE68" s="15">
        <v>1</v>
      </c>
      <c r="AF68" s="15">
        <v>1</v>
      </c>
      <c r="AG68" s="182">
        <v>0</v>
      </c>
      <c r="AH68" s="182">
        <v>0</v>
      </c>
      <c r="AI68" s="182">
        <v>0</v>
      </c>
      <c r="AJ68" s="200">
        <v>0</v>
      </c>
      <c r="AK68" s="185" t="s">
        <v>16</v>
      </c>
      <c r="AL68" s="186" t="s">
        <v>64</v>
      </c>
      <c r="AM68" s="178">
        <v>0</v>
      </c>
      <c r="AN68" s="15">
        <v>1</v>
      </c>
      <c r="AO68" s="15">
        <v>1</v>
      </c>
      <c r="AP68" s="15">
        <v>1</v>
      </c>
      <c r="AQ68" s="15">
        <v>1</v>
      </c>
      <c r="AR68" s="15">
        <v>1</v>
      </c>
      <c r="AS68" s="138">
        <v>1</v>
      </c>
    </row>
    <row r="69" spans="1:45" x14ac:dyDescent="0.4">
      <c r="A69" s="260"/>
      <c r="B69" s="191" t="s">
        <v>17</v>
      </c>
      <c r="C69" s="186" t="s">
        <v>240</v>
      </c>
      <c r="D69" s="178">
        <v>0</v>
      </c>
      <c r="E69" s="15">
        <v>0</v>
      </c>
      <c r="F69" s="15">
        <v>0</v>
      </c>
      <c r="G69" s="182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82">
        <v>0</v>
      </c>
      <c r="N69" s="182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82">
        <v>0</v>
      </c>
      <c r="V69" s="15">
        <v>0</v>
      </c>
      <c r="W69" s="15">
        <v>0</v>
      </c>
      <c r="X69" s="15">
        <v>0</v>
      </c>
      <c r="Y69" s="15">
        <v>0</v>
      </c>
      <c r="Z69" s="15">
        <v>0</v>
      </c>
      <c r="AA69" s="182">
        <v>0</v>
      </c>
      <c r="AB69" s="182">
        <v>0</v>
      </c>
      <c r="AC69" s="15">
        <v>0</v>
      </c>
      <c r="AD69" s="15">
        <v>0</v>
      </c>
      <c r="AE69" s="15">
        <v>0</v>
      </c>
      <c r="AF69" s="15">
        <v>0</v>
      </c>
      <c r="AG69" s="182">
        <v>0</v>
      </c>
      <c r="AH69" s="182">
        <v>0</v>
      </c>
      <c r="AI69" s="182">
        <v>0</v>
      </c>
      <c r="AJ69" s="200">
        <v>0</v>
      </c>
      <c r="AK69" s="185" t="s">
        <v>17</v>
      </c>
      <c r="AL69" s="186" t="s">
        <v>240</v>
      </c>
      <c r="AM69" s="178">
        <v>0</v>
      </c>
      <c r="AN69" s="15">
        <v>0</v>
      </c>
      <c r="AO69" s="15">
        <v>0</v>
      </c>
      <c r="AP69" s="15">
        <v>0</v>
      </c>
      <c r="AQ69" s="15">
        <v>0</v>
      </c>
      <c r="AR69" s="15">
        <v>0</v>
      </c>
      <c r="AS69" s="138">
        <v>0</v>
      </c>
    </row>
    <row r="70" spans="1:45" x14ac:dyDescent="0.4">
      <c r="A70" s="260"/>
      <c r="B70" s="191" t="s">
        <v>18</v>
      </c>
      <c r="C70" s="186" t="s">
        <v>276</v>
      </c>
      <c r="D70" s="178">
        <v>0</v>
      </c>
      <c r="E70" s="15">
        <v>0</v>
      </c>
      <c r="F70" s="15">
        <v>0</v>
      </c>
      <c r="G70" s="182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82">
        <v>0</v>
      </c>
      <c r="N70" s="182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82">
        <v>0</v>
      </c>
      <c r="V70" s="15">
        <v>0</v>
      </c>
      <c r="W70" s="15">
        <v>0</v>
      </c>
      <c r="X70" s="15">
        <v>0</v>
      </c>
      <c r="Y70" s="15">
        <v>0</v>
      </c>
      <c r="Z70" s="15">
        <v>0</v>
      </c>
      <c r="AA70" s="182">
        <v>0</v>
      </c>
      <c r="AB70" s="182">
        <v>0</v>
      </c>
      <c r="AC70" s="15">
        <v>0</v>
      </c>
      <c r="AD70" s="15">
        <v>0</v>
      </c>
      <c r="AE70" s="15">
        <v>0</v>
      </c>
      <c r="AF70" s="15">
        <v>0</v>
      </c>
      <c r="AG70" s="182">
        <v>0</v>
      </c>
      <c r="AH70" s="182">
        <v>0</v>
      </c>
      <c r="AI70" s="182">
        <v>0</v>
      </c>
      <c r="AJ70" s="200">
        <v>0</v>
      </c>
      <c r="AK70" s="185" t="s">
        <v>18</v>
      </c>
      <c r="AL70" s="186" t="s">
        <v>276</v>
      </c>
      <c r="AM70" s="178">
        <v>0</v>
      </c>
      <c r="AN70" s="15">
        <v>0</v>
      </c>
      <c r="AO70" s="15">
        <v>0</v>
      </c>
      <c r="AP70" s="15">
        <v>0</v>
      </c>
      <c r="AQ70" s="15">
        <v>0</v>
      </c>
      <c r="AR70" s="15">
        <v>0</v>
      </c>
      <c r="AS70" s="138">
        <v>0</v>
      </c>
    </row>
    <row r="71" spans="1:45" x14ac:dyDescent="0.4">
      <c r="A71" s="260"/>
      <c r="B71" s="191" t="s">
        <v>19</v>
      </c>
      <c r="C71" s="186" t="s">
        <v>19</v>
      </c>
      <c r="D71" s="178">
        <v>1</v>
      </c>
      <c r="E71" s="15">
        <v>1</v>
      </c>
      <c r="F71" s="15">
        <v>1</v>
      </c>
      <c r="G71" s="182">
        <v>0</v>
      </c>
      <c r="H71" s="15">
        <v>1</v>
      </c>
      <c r="I71" s="15">
        <v>1</v>
      </c>
      <c r="J71" s="15">
        <v>1</v>
      </c>
      <c r="K71" s="15">
        <v>1</v>
      </c>
      <c r="L71" s="15">
        <v>1</v>
      </c>
      <c r="M71" s="182">
        <v>0</v>
      </c>
      <c r="N71" s="182">
        <v>0</v>
      </c>
      <c r="O71" s="15">
        <v>1</v>
      </c>
      <c r="P71" s="15">
        <v>1</v>
      </c>
      <c r="Q71" s="15">
        <v>1</v>
      </c>
      <c r="R71" s="15">
        <v>1</v>
      </c>
      <c r="S71" s="15">
        <v>1</v>
      </c>
      <c r="T71" s="15">
        <v>1</v>
      </c>
      <c r="U71" s="182">
        <v>0</v>
      </c>
      <c r="V71" s="15">
        <v>1</v>
      </c>
      <c r="W71" s="15">
        <v>1</v>
      </c>
      <c r="X71" s="15">
        <v>1</v>
      </c>
      <c r="Y71" s="15">
        <v>1</v>
      </c>
      <c r="Z71" s="15">
        <v>1</v>
      </c>
      <c r="AA71" s="182">
        <v>0</v>
      </c>
      <c r="AB71" s="182">
        <v>0</v>
      </c>
      <c r="AC71" s="15">
        <v>1</v>
      </c>
      <c r="AD71" s="15">
        <v>1</v>
      </c>
      <c r="AE71" s="15">
        <v>1</v>
      </c>
      <c r="AF71" s="15">
        <v>1</v>
      </c>
      <c r="AG71" s="182">
        <v>0</v>
      </c>
      <c r="AH71" s="182">
        <v>0</v>
      </c>
      <c r="AI71" s="182">
        <v>0</v>
      </c>
      <c r="AJ71" s="200">
        <v>0</v>
      </c>
      <c r="AK71" s="185" t="s">
        <v>19</v>
      </c>
      <c r="AL71" s="186" t="s">
        <v>19</v>
      </c>
      <c r="AM71" s="178">
        <v>0</v>
      </c>
      <c r="AN71" s="15">
        <v>1</v>
      </c>
      <c r="AO71" s="15">
        <v>1</v>
      </c>
      <c r="AP71" s="15">
        <v>1</v>
      </c>
      <c r="AQ71" s="15">
        <v>1</v>
      </c>
      <c r="AR71" s="15">
        <v>1</v>
      </c>
      <c r="AS71" s="138">
        <v>1</v>
      </c>
    </row>
    <row r="72" spans="1:45" x14ac:dyDescent="0.4">
      <c r="A72" s="260"/>
      <c r="B72" s="191" t="s">
        <v>20</v>
      </c>
      <c r="C72" s="186" t="s">
        <v>102</v>
      </c>
      <c r="D72" s="178">
        <v>1</v>
      </c>
      <c r="E72" s="15">
        <v>1</v>
      </c>
      <c r="F72" s="15">
        <v>1</v>
      </c>
      <c r="G72" s="182">
        <v>0</v>
      </c>
      <c r="H72" s="15">
        <v>1</v>
      </c>
      <c r="I72" s="15">
        <v>1</v>
      </c>
      <c r="J72" s="15">
        <v>1</v>
      </c>
      <c r="K72" s="15">
        <v>1</v>
      </c>
      <c r="L72" s="15">
        <v>1</v>
      </c>
      <c r="M72" s="182">
        <v>0</v>
      </c>
      <c r="N72" s="182">
        <v>0</v>
      </c>
      <c r="O72" s="15">
        <v>1</v>
      </c>
      <c r="P72" s="15">
        <v>1</v>
      </c>
      <c r="Q72" s="15">
        <v>1</v>
      </c>
      <c r="R72" s="15">
        <v>1</v>
      </c>
      <c r="S72" s="15">
        <v>1</v>
      </c>
      <c r="T72" s="15">
        <v>1</v>
      </c>
      <c r="U72" s="182">
        <v>0</v>
      </c>
      <c r="V72" s="15">
        <v>1</v>
      </c>
      <c r="W72" s="15">
        <v>1</v>
      </c>
      <c r="X72" s="15">
        <v>1</v>
      </c>
      <c r="Y72" s="15">
        <v>1</v>
      </c>
      <c r="Z72" s="15">
        <v>1</v>
      </c>
      <c r="AA72" s="182">
        <v>0</v>
      </c>
      <c r="AB72" s="182">
        <v>0</v>
      </c>
      <c r="AC72" s="15">
        <v>1</v>
      </c>
      <c r="AD72" s="15">
        <v>1</v>
      </c>
      <c r="AE72" s="15">
        <v>1</v>
      </c>
      <c r="AF72" s="15">
        <v>1</v>
      </c>
      <c r="AG72" s="182">
        <v>0</v>
      </c>
      <c r="AH72" s="182">
        <v>0</v>
      </c>
      <c r="AI72" s="182">
        <v>0</v>
      </c>
      <c r="AJ72" s="200">
        <v>0</v>
      </c>
      <c r="AK72" s="185" t="s">
        <v>20</v>
      </c>
      <c r="AL72" s="186" t="s">
        <v>102</v>
      </c>
      <c r="AM72" s="178">
        <v>0</v>
      </c>
      <c r="AN72" s="15">
        <v>1</v>
      </c>
      <c r="AO72" s="15">
        <v>1</v>
      </c>
      <c r="AP72" s="15">
        <v>1</v>
      </c>
      <c r="AQ72" s="15">
        <v>1</v>
      </c>
      <c r="AR72" s="15">
        <v>1</v>
      </c>
      <c r="AS72" s="138">
        <v>1</v>
      </c>
    </row>
    <row r="73" spans="1:45" x14ac:dyDescent="0.4">
      <c r="A73" s="260"/>
      <c r="B73" s="191" t="s">
        <v>21</v>
      </c>
      <c r="C73" s="186" t="s">
        <v>205</v>
      </c>
      <c r="D73" s="178">
        <v>1</v>
      </c>
      <c r="E73" s="15">
        <v>1</v>
      </c>
      <c r="F73" s="15">
        <v>1</v>
      </c>
      <c r="G73" s="182">
        <v>0</v>
      </c>
      <c r="H73" s="15">
        <v>1</v>
      </c>
      <c r="I73" s="15">
        <v>1</v>
      </c>
      <c r="J73" s="15">
        <v>1</v>
      </c>
      <c r="K73" s="15">
        <v>1</v>
      </c>
      <c r="L73" s="15">
        <v>1</v>
      </c>
      <c r="M73" s="182">
        <v>0</v>
      </c>
      <c r="N73" s="182">
        <v>0</v>
      </c>
      <c r="O73" s="15">
        <v>1</v>
      </c>
      <c r="P73" s="15">
        <v>1</v>
      </c>
      <c r="Q73" s="15">
        <v>1</v>
      </c>
      <c r="R73" s="15">
        <v>1</v>
      </c>
      <c r="S73" s="15">
        <v>1</v>
      </c>
      <c r="T73" s="15">
        <v>1</v>
      </c>
      <c r="U73" s="182">
        <v>0</v>
      </c>
      <c r="V73" s="15">
        <v>1</v>
      </c>
      <c r="W73" s="15">
        <v>1</v>
      </c>
      <c r="X73" s="15">
        <v>1</v>
      </c>
      <c r="Y73" s="15">
        <v>1</v>
      </c>
      <c r="Z73" s="15">
        <v>1</v>
      </c>
      <c r="AA73" s="182">
        <v>0</v>
      </c>
      <c r="AB73" s="182">
        <v>0</v>
      </c>
      <c r="AC73" s="15">
        <v>1</v>
      </c>
      <c r="AD73" s="15">
        <v>1</v>
      </c>
      <c r="AE73" s="15">
        <v>1</v>
      </c>
      <c r="AF73" s="15">
        <v>1</v>
      </c>
      <c r="AG73" s="182">
        <v>0</v>
      </c>
      <c r="AH73" s="182">
        <v>0</v>
      </c>
      <c r="AI73" s="182">
        <v>0</v>
      </c>
      <c r="AJ73" s="200">
        <v>0</v>
      </c>
      <c r="AK73" s="185" t="s">
        <v>21</v>
      </c>
      <c r="AL73" s="186" t="s">
        <v>205</v>
      </c>
      <c r="AM73" s="178">
        <v>0</v>
      </c>
      <c r="AN73" s="15">
        <v>1</v>
      </c>
      <c r="AO73" s="15">
        <v>1</v>
      </c>
      <c r="AP73" s="15">
        <v>1</v>
      </c>
      <c r="AQ73" s="15">
        <v>1</v>
      </c>
      <c r="AR73" s="15">
        <v>1</v>
      </c>
      <c r="AS73" s="138">
        <v>1</v>
      </c>
    </row>
    <row r="74" spans="1:45" ht="19.5" thickBot="1" x14ac:dyDescent="0.45">
      <c r="A74" s="261"/>
      <c r="B74" s="193" t="s">
        <v>217</v>
      </c>
      <c r="C74" s="189" t="s">
        <v>119</v>
      </c>
      <c r="D74" s="179">
        <v>0</v>
      </c>
      <c r="E74" s="16">
        <v>0</v>
      </c>
      <c r="F74" s="16">
        <v>0</v>
      </c>
      <c r="G74" s="184">
        <v>0</v>
      </c>
      <c r="H74" s="16">
        <v>0</v>
      </c>
      <c r="I74" s="16">
        <v>0</v>
      </c>
      <c r="J74" s="16">
        <v>0</v>
      </c>
      <c r="K74" s="16">
        <v>0</v>
      </c>
      <c r="L74" s="16">
        <v>0</v>
      </c>
      <c r="M74" s="184">
        <v>0</v>
      </c>
      <c r="N74" s="184">
        <v>0</v>
      </c>
      <c r="O74" s="16">
        <v>0</v>
      </c>
      <c r="P74" s="16">
        <v>0</v>
      </c>
      <c r="Q74" s="16">
        <v>0</v>
      </c>
      <c r="R74" s="16">
        <v>0</v>
      </c>
      <c r="S74" s="16">
        <v>0</v>
      </c>
      <c r="T74" s="16">
        <v>0</v>
      </c>
      <c r="U74" s="184">
        <v>0</v>
      </c>
      <c r="V74" s="16">
        <v>0</v>
      </c>
      <c r="W74" s="16">
        <v>0</v>
      </c>
      <c r="X74" s="16">
        <v>0</v>
      </c>
      <c r="Y74" s="16">
        <v>0</v>
      </c>
      <c r="Z74" s="16">
        <v>0</v>
      </c>
      <c r="AA74" s="184">
        <v>0</v>
      </c>
      <c r="AB74" s="184">
        <v>0</v>
      </c>
      <c r="AC74" s="16">
        <v>0</v>
      </c>
      <c r="AD74" s="16">
        <v>0</v>
      </c>
      <c r="AE74" s="16">
        <v>0</v>
      </c>
      <c r="AF74" s="16">
        <v>0</v>
      </c>
      <c r="AG74" s="184">
        <v>0</v>
      </c>
      <c r="AH74" s="184">
        <v>0</v>
      </c>
      <c r="AI74" s="184">
        <v>0</v>
      </c>
      <c r="AJ74" s="201">
        <v>0</v>
      </c>
      <c r="AK74" s="188" t="s">
        <v>217</v>
      </c>
      <c r="AL74" s="189" t="s">
        <v>119</v>
      </c>
      <c r="AM74" s="179">
        <v>0</v>
      </c>
      <c r="AN74" s="16">
        <v>0</v>
      </c>
      <c r="AO74" s="16">
        <v>0</v>
      </c>
      <c r="AP74" s="16">
        <v>0</v>
      </c>
      <c r="AQ74" s="16">
        <v>0</v>
      </c>
      <c r="AR74" s="16">
        <v>0</v>
      </c>
      <c r="AS74" s="141">
        <v>0</v>
      </c>
    </row>
    <row r="75" spans="1:45" x14ac:dyDescent="0.4">
      <c r="D75" s="114" t="s">
        <v>359</v>
      </c>
    </row>
  </sheetData>
  <mergeCells count="4">
    <mergeCell ref="A24:A40"/>
    <mergeCell ref="A5:A16"/>
    <mergeCell ref="A47:A58"/>
    <mergeCell ref="A63:A74"/>
  </mergeCells>
  <phoneticPr fontId="1"/>
  <conditionalFormatting sqref="D17:AJ17">
    <cfRule type="cellIs" dxfId="135" priority="1" stopIfTrue="1" operator="greaterThan">
      <formula>73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PulpButton">
          <controlPr defaultSize="0" autoLine="0" r:id="rId4">
            <anchor moveWithCells="1">
              <from>
                <xdr:col>0</xdr:col>
                <xdr:colOff>85725</xdr:colOff>
                <xdr:row>2</xdr:row>
                <xdr:rowOff>47625</xdr:rowOff>
              </from>
              <to>
                <xdr:col>1</xdr:col>
                <xdr:colOff>1162050</xdr:colOff>
                <xdr:row>3</xdr:row>
                <xdr:rowOff>104775</xdr:rowOff>
              </to>
            </anchor>
          </controlPr>
        </control>
      </mc:Choice>
      <mc:Fallback>
        <control shapeId="9218" r:id="rId3" name="PulpButton"/>
      </mc:Fallback>
    </mc:AlternateContent>
    <mc:AlternateContent xmlns:mc="http://schemas.openxmlformats.org/markup-compatibility/2006">
      <mc:Choice Requires="x14">
        <control shapeId="9217" r:id="rId5" name="CalendarBox">
          <controlPr defaultSize="0" autoLine="0" autoPict="0" r:id="rId6">
            <anchor moveWithCells="1">
              <from>
                <xdr:col>0</xdr:col>
                <xdr:colOff>95250</xdr:colOff>
                <xdr:row>0</xdr:row>
                <xdr:rowOff>47625</xdr:rowOff>
              </from>
              <to>
                <xdr:col>1</xdr:col>
                <xdr:colOff>885825</xdr:colOff>
                <xdr:row>1</xdr:row>
                <xdr:rowOff>190500</xdr:rowOff>
              </to>
            </anchor>
          </controlPr>
        </control>
      </mc:Choice>
      <mc:Fallback>
        <control shapeId="9217" r:id="rId5" name="CalendarBo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夜勤作成変数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東海大学医学部付属病院【IPC00J044】</cp:lastModifiedBy>
  <cp:revision/>
  <dcterms:created xsi:type="dcterms:W3CDTF">2023-06-02T11:24:36Z</dcterms:created>
  <dcterms:modified xsi:type="dcterms:W3CDTF">2023-12-06T04:16:34Z</dcterms:modified>
  <cp:category/>
  <cp:contentStatus/>
</cp:coreProperties>
</file>